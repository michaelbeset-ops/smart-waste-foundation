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rbese\Desktop\HiDrive\Gezamelijke map\Productblad_Generator\V2.3\Dependencies\"/>
    </mc:Choice>
  </mc:AlternateContent>
  <xr:revisionPtr revIDLastSave="0" documentId="13_ncr:1_{E1DB5E5C-7BB5-4EAE-88B7-3D0437495182}" xr6:coauthVersionLast="47" xr6:coauthVersionMax="47" xr10:uidLastSave="{00000000-0000-0000-0000-000000000000}"/>
  <bookViews>
    <workbookView xWindow="-25725" yWindow="300" windowWidth="21600" windowHeight="12645" activeTab="1" xr2:uid="{00000000-000D-0000-FFFF-FFFF00000000}"/>
  </bookViews>
  <sheets>
    <sheet name="Projectomschrijving" sheetId="3" r:id="rId1"/>
    <sheet name="Projectblad" sheetId="1" r:id="rId2"/>
    <sheet name="Data" sheetId="5" state="hidden" r:id="rId3"/>
    <sheet name="UItvoering" sheetId="6" r:id="rId4"/>
    <sheet name="Bestellijst" sheetId="2" r:id="rId5"/>
    <sheet name="Meerwerkstaat" sheetId="4" r:id="rId6"/>
    <sheet name="Blad2" sheetId="7" r:id="rId7"/>
  </sheets>
  <externalReferences>
    <externalReference r:id="rId8"/>
  </externalReferences>
  <definedNames>
    <definedName name="_xlnm.Print_Area" localSheetId="1">Projectblad!$A$1:$H$331</definedName>
    <definedName name="Print_Area" localSheetId="3">UItvoering!$A$1:$H$198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35" i="1" l="1"/>
  <c r="B31" i="6"/>
  <c r="A13" i="6"/>
  <c r="B13" i="6" s="1"/>
  <c r="A12" i="6"/>
  <c r="B12" i="6" s="1"/>
  <c r="A11" i="6"/>
  <c r="A10" i="6"/>
  <c r="A9" i="6"/>
  <c r="A7" i="6"/>
  <c r="E7" i="6" s="1"/>
  <c r="A6" i="6"/>
  <c r="E6" i="6" s="1"/>
  <c r="A5" i="6"/>
  <c r="A4" i="6"/>
  <c r="A3" i="6"/>
  <c r="F20" i="6"/>
  <c r="F19" i="6"/>
  <c r="B21" i="6"/>
  <c r="B20" i="6"/>
  <c r="B19" i="6"/>
  <c r="E16" i="6"/>
  <c r="C16" i="6"/>
  <c r="G15" i="6"/>
  <c r="C15" i="6"/>
  <c r="G13" i="1"/>
  <c r="G12" i="1"/>
  <c r="G11" i="1"/>
  <c r="G10" i="1"/>
  <c r="G9" i="1"/>
  <c r="G13" i="6"/>
  <c r="G12" i="6"/>
  <c r="G11" i="6"/>
  <c r="G10" i="6"/>
  <c r="G9" i="6"/>
  <c r="B1" i="6"/>
  <c r="B14" i="6" l="1"/>
  <c r="F133" i="6" s="1"/>
  <c r="F1" i="6" l="1"/>
  <c r="F67" i="6"/>
  <c r="D3" i="3" l="1"/>
  <c r="B9" i="1"/>
  <c r="B10" i="1"/>
  <c r="B11" i="1"/>
  <c r="B3" i="1"/>
  <c r="B4" i="1"/>
  <c r="B5" i="1"/>
  <c r="B6" i="1"/>
  <c r="B31" i="1"/>
  <c r="B7" i="1"/>
  <c r="B14" i="1" l="1"/>
  <c r="F199" i="1" s="1"/>
  <c r="B134" i="1"/>
  <c r="B12" i="1"/>
  <c r="B13" i="1"/>
  <c r="B1" i="1"/>
  <c r="H1" i="1"/>
  <c r="D1" i="1"/>
  <c r="H46" i="4"/>
  <c r="F1" i="1" l="1"/>
  <c r="F67" i="1"/>
  <c r="F133" i="1"/>
  <c r="F26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Idzard Grovenstein</author>
  </authors>
  <commentList>
    <comment ref="A8" authorId="0" shapeId="0" xr:uid="{00000000-0006-0000-0000-000001000000}">
      <text>
        <r>
          <rPr>
            <sz val="9"/>
            <color indexed="81"/>
            <rFont val="Tahoma"/>
            <family val="2"/>
          </rPr>
          <t>Tekst invullen om zichtbaar te maken in tab 'Projectblad'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Ricardo Beset</author>
    <author>Idzard Grovenstein</author>
  </authors>
  <commentList>
    <comment ref="C16" authorId="0" shapeId="0" xr:uid="{00000000-0006-0000-0100-000001000000}">
      <text>
        <r>
          <rPr>
            <sz val="9"/>
            <color indexed="81"/>
            <rFont val="Tahoma"/>
            <family val="2"/>
          </rPr>
          <t>X-coördinaat</t>
        </r>
      </text>
    </comment>
    <comment ref="E16" authorId="0" shapeId="0" xr:uid="{00000000-0006-0000-0100-000002000000}">
      <text>
        <r>
          <rPr>
            <sz val="9"/>
            <color indexed="81"/>
            <rFont val="Tahoma"/>
            <family val="2"/>
          </rPr>
          <t>Y-coördinaat</t>
        </r>
      </text>
    </comment>
    <comment ref="C17" authorId="0" shapeId="0" xr:uid="{00000000-0006-0000-0100-000003000000}">
      <text>
        <r>
          <rPr>
            <sz val="9"/>
            <color indexed="81"/>
            <rFont val="Tahoma"/>
            <family val="2"/>
          </rPr>
          <t>X-coördinaat</t>
        </r>
      </text>
    </comment>
    <comment ref="E17" authorId="0" shapeId="0" xr:uid="{00000000-0006-0000-0100-000004000000}">
      <text>
        <r>
          <rPr>
            <sz val="9"/>
            <color indexed="81"/>
            <rFont val="Tahoma"/>
            <family val="2"/>
          </rPr>
          <t>Y-coördinaat</t>
        </r>
      </text>
    </comment>
    <comment ref="B136" authorId="1" shapeId="0" xr:uid="{00000000-0006-0000-0100-000005000000}">
      <text>
        <r>
          <rPr>
            <sz val="9"/>
            <color indexed="81"/>
            <rFont val="Tahoma"/>
            <family val="2"/>
          </rPr>
          <t>Screenshot van KLIC importeren, deze naar achtergrond brengen en vervolgens het symbool schalen middels hoekpunt, roteren en op juiste plaats zetten.
Meerdere symbolen nodig? Gewoon kopiëren.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Ricardo Beset</author>
    <author>Idzard Grovenstein</author>
  </authors>
  <commentList>
    <comment ref="C16" authorId="0" shapeId="0" xr:uid="{D5CC83B8-0435-4643-B2D9-9E65C14B1F51}">
      <text>
        <r>
          <rPr>
            <sz val="10"/>
            <color theme="1"/>
            <rFont val="Verdana"/>
            <family val="2"/>
          </rPr>
          <t>X-coördinaat</t>
        </r>
      </text>
    </comment>
    <comment ref="E16" authorId="0" shapeId="0" xr:uid="{1D641279-D28A-48BC-AAB2-546F551C74E0}">
      <text>
        <r>
          <rPr>
            <sz val="10"/>
            <color theme="1"/>
            <rFont val="Verdana"/>
            <family val="2"/>
          </rPr>
          <t>Y-coördinaat</t>
        </r>
      </text>
    </comment>
    <comment ref="C17" authorId="0" shapeId="0" xr:uid="{08128F33-8181-4EAA-AAE7-EAA6834EEBCF}">
      <text>
        <r>
          <rPr>
            <sz val="10"/>
            <color theme="1"/>
            <rFont val="Verdana"/>
            <family val="2"/>
          </rPr>
          <t>X-coördinaat</t>
        </r>
      </text>
    </comment>
    <comment ref="E17" authorId="0" shapeId="0" xr:uid="{2672427D-D463-43E6-ABFF-DD128645CD3C}">
      <text>
        <r>
          <rPr>
            <sz val="10"/>
            <color theme="1"/>
            <rFont val="Verdana"/>
            <family val="2"/>
          </rPr>
          <t>Y-coördinaat</t>
        </r>
      </text>
    </comment>
    <comment ref="B136" authorId="1" shapeId="0" xr:uid="{8490A4B3-73C6-4EAA-A9CD-A262AB99A7E2}">
      <text>
        <r>
          <rPr>
            <sz val="10"/>
            <color theme="1"/>
            <rFont val="Verdana"/>
            <family val="2"/>
          </rPr>
          <t>Screenshot van KLIC importeren, deze naar achtergrond brengen en vervolgens het symbool schalen middels hoekpunt, roteren en op juiste plaats zetten.
Meerdere symbolen nodig? Gewoon kopiëren.</t>
        </r>
      </text>
    </comment>
  </commentList>
</comments>
</file>

<file path=xl/sharedStrings.xml><?xml version="1.0" encoding="utf-8"?>
<sst xmlns="http://schemas.openxmlformats.org/spreadsheetml/2006/main" count="253" uniqueCount="173">
  <si>
    <t>versie 1</t>
  </si>
  <si>
    <t>PL</t>
  </si>
  <si>
    <t>Projectnaam:</t>
  </si>
  <si>
    <t>Projectdatum start:</t>
  </si>
  <si>
    <t>Projectdatum eind (verwacht):</t>
  </si>
  <si>
    <t>Betrokken projectleider:</t>
  </si>
  <si>
    <t>Project omschrijving</t>
  </si>
  <si>
    <t>Belanghebbende/ deelnemers (in-, extern)</t>
  </si>
  <si>
    <t>Contactpersoon 1:</t>
  </si>
  <si>
    <t>nvt</t>
  </si>
  <si>
    <t>Contactpersoon 2:</t>
  </si>
  <si>
    <t>1 van 1</t>
  </si>
  <si>
    <t>Project</t>
  </si>
  <si>
    <t>(bestaand)</t>
  </si>
  <si>
    <t>Containernummer</t>
  </si>
  <si>
    <t>(nieuw)</t>
  </si>
  <si>
    <t>Locatiecode</t>
  </si>
  <si>
    <t>Bezoekdatum:</t>
  </si>
  <si>
    <t>n.t.b.</t>
  </si>
  <si>
    <t>Maximale loopafstand:</t>
  </si>
  <si>
    <t>Aantal aansluitingen:</t>
  </si>
  <si>
    <t>Straat</t>
  </si>
  <si>
    <t>Huisnr.</t>
  </si>
  <si>
    <t>Postcode</t>
  </si>
  <si>
    <t>Plaats</t>
  </si>
  <si>
    <t>Wijk</t>
  </si>
  <si>
    <t>Acties</t>
  </si>
  <si>
    <t>Planning/week</t>
  </si>
  <si>
    <t>wk:</t>
  </si>
  <si>
    <t>Locatiefoto</t>
  </si>
  <si>
    <t>Controle</t>
  </si>
  <si>
    <t>KLIC</t>
  </si>
  <si>
    <t>Resultaatfoto</t>
  </si>
  <si>
    <t>Proefsleuf</t>
  </si>
  <si>
    <t>Bestelling</t>
  </si>
  <si>
    <t>Ordernr:</t>
  </si>
  <si>
    <t>Ontvangst</t>
  </si>
  <si>
    <t>Opmerkingen:</t>
  </si>
  <si>
    <t>Plaatsing mogelijk na proefsleuven:</t>
  </si>
  <si>
    <t>Plaatsing definitief na (aanwijs)besluit:</t>
  </si>
  <si>
    <t>IST</t>
  </si>
  <si>
    <t>SOLL</t>
  </si>
  <si>
    <t>Locatie foto:</t>
  </si>
  <si>
    <t>Kaart:</t>
  </si>
  <si>
    <t>Bijzonderheden locatie:</t>
  </si>
  <si>
    <t>Klicoverzicht:</t>
  </si>
  <si>
    <t>Overig:</t>
  </si>
  <si>
    <t>Maximale loopafstand vanaf containers (www.afstandmeten.nl):</t>
  </si>
  <si>
    <t>Kadastrale kaart</t>
  </si>
  <si>
    <t>Nieuw  Renovatie</t>
  </si>
  <si>
    <t>Bouwjaar</t>
  </si>
  <si>
    <t>Datum plaatsing</t>
  </si>
  <si>
    <t>Aannemer Bammens       Van der Hoeven</t>
  </si>
  <si>
    <t>Gemeente</t>
  </si>
  <si>
    <t>Straatnaam</t>
  </si>
  <si>
    <t>Datum bestelling</t>
  </si>
  <si>
    <t>Fractie</t>
  </si>
  <si>
    <t>Rest</t>
  </si>
  <si>
    <t>GFT</t>
  </si>
  <si>
    <t>Glas wit 1 comp.</t>
  </si>
  <si>
    <t>Glas bont 1 comp.</t>
  </si>
  <si>
    <t>Glas wit-bont 2 comp.</t>
  </si>
  <si>
    <t>Papier</t>
  </si>
  <si>
    <t>Textiel</t>
  </si>
  <si>
    <t>Plastic</t>
  </si>
  <si>
    <t>Inhoud</t>
  </si>
  <si>
    <t>060003 Betonput</t>
  </si>
  <si>
    <t>1670 Console Nieuw</t>
  </si>
  <si>
    <t>1650 Console Renovatie</t>
  </si>
  <si>
    <t>449975 Putopvulling 680 mm</t>
  </si>
  <si>
    <t>Rand Ring</t>
  </si>
  <si>
    <t>Datum levering</t>
  </si>
  <si>
    <t>Order nr. Bammens</t>
  </si>
  <si>
    <t>Type vloer</t>
  </si>
  <si>
    <t>Leverancier</t>
  </si>
  <si>
    <t>Kleur</t>
  </si>
  <si>
    <t>Opnamesysteem</t>
  </si>
  <si>
    <t>Toegang tot container</t>
  </si>
  <si>
    <t xml:space="preserve">Status op locatie </t>
  </si>
  <si>
    <t>Type OOC/BOC</t>
  </si>
  <si>
    <t>Serienr.</t>
  </si>
  <si>
    <t>Nieuw  OOC NR.</t>
  </si>
  <si>
    <t>Oud    BOC-OOC NR.</t>
  </si>
  <si>
    <t>Unit ID</t>
  </si>
  <si>
    <t>Locatie code</t>
  </si>
  <si>
    <t xml:space="preserve"> </t>
  </si>
  <si>
    <t>Let op: gegevens invullen in projectblad</t>
  </si>
  <si>
    <t>Invullen door Bammens</t>
  </si>
  <si>
    <t>Invullen door aannemer</t>
  </si>
  <si>
    <t>Project:</t>
  </si>
  <si>
    <t>Eenheid</t>
  </si>
  <si>
    <t>Aantal</t>
  </si>
  <si>
    <t xml:space="preserve">Prijs per </t>
  </si>
  <si>
    <t>Totaal</t>
  </si>
  <si>
    <t>Meerwerkstaat</t>
  </si>
  <si>
    <t>eenheid</t>
  </si>
  <si>
    <t xml:space="preserve">Euro </t>
  </si>
  <si>
    <t>Ex BTW</t>
  </si>
  <si>
    <t>Totaal in Euro (ex Btw)</t>
  </si>
  <si>
    <t>Projectleider Avalex</t>
  </si>
  <si>
    <t>Naam: R. Beset</t>
  </si>
  <si>
    <t>Naam:</t>
  </si>
  <si>
    <t>Datum:</t>
  </si>
  <si>
    <t>Akkoord:</t>
  </si>
  <si>
    <t>Algemeen:</t>
  </si>
  <si>
    <t>Proefsleuf:</t>
  </si>
  <si>
    <t>Klic:</t>
  </si>
  <si>
    <t>Opdrachtgever:</t>
  </si>
  <si>
    <t>Grijs:</t>
  </si>
  <si>
    <t>Groen:</t>
  </si>
  <si>
    <t>Verkeer:</t>
  </si>
  <si>
    <t>Inzameling:</t>
  </si>
  <si>
    <t>Gemeente:</t>
  </si>
  <si>
    <t>LL</t>
  </si>
  <si>
    <t>Tekening</t>
  </si>
  <si>
    <t>~Keuze~</t>
  </si>
  <si>
    <t>Ja</t>
  </si>
  <si>
    <t>Nee</t>
  </si>
  <si>
    <t>Misschien</t>
  </si>
  <si>
    <r>
      <t xml:space="preserve">Coordinaten </t>
    </r>
    <r>
      <rPr>
        <i/>
        <u/>
        <sz val="9"/>
        <color theme="10"/>
        <rFont val="Verdana"/>
        <family val="2"/>
      </rPr>
      <t>(rijksdriehoek)</t>
    </r>
  </si>
  <si>
    <r>
      <t xml:space="preserve">Coördinaten </t>
    </r>
    <r>
      <rPr>
        <i/>
        <u/>
        <sz val="9"/>
        <color theme="10"/>
        <rFont val="Verdana"/>
        <family val="2"/>
      </rPr>
      <t>(DD.dddddd°)</t>
    </r>
  </si>
  <si>
    <t>°</t>
  </si>
  <si>
    <t>In afwachting</t>
  </si>
  <si>
    <t>Volgens Klic kabels en/of leidingen door het werkgebied</t>
  </si>
  <si>
    <t>Volgens Klic nabij kabels en/of leidingen</t>
  </si>
  <si>
    <t>Volgens Klic geen kabels en/of leidingen door het werkgebied</t>
  </si>
  <si>
    <t>AWB- Kaart</t>
  </si>
  <si>
    <t>RBE</t>
  </si>
  <si>
    <t>Betonputten</t>
  </si>
  <si>
    <t>PUT</t>
  </si>
  <si>
    <t>Put</t>
  </si>
  <si>
    <t>Vloer</t>
  </si>
  <si>
    <t>Coordinaten (rijksdriehoek)</t>
  </si>
  <si>
    <t>Coördinaten (DD.dddddd°)</t>
  </si>
  <si>
    <t>Aanpassing straatwerk</t>
  </si>
  <si>
    <t>Aanpassing groen</t>
  </si>
  <si>
    <t>Aanpassing onder maaiveld</t>
  </si>
  <si>
    <t>Afzetting tijdens uitvoering</t>
  </si>
  <si>
    <t>Overig</t>
  </si>
  <si>
    <t>Klic</t>
  </si>
  <si>
    <t>Ophogen straatwerk (30x30)</t>
  </si>
  <si>
    <t>Verzetten banden</t>
  </si>
  <si>
    <t>Aanpassen bochtstraal</t>
  </si>
  <si>
    <t>Aanbrengen verlaagde band</t>
  </si>
  <si>
    <t>Aanleg tegelplateau</t>
  </si>
  <si>
    <t>Zetten opsluitbanden</t>
  </si>
  <si>
    <t>Aanbrengen tuinaarde- inzaaien</t>
  </si>
  <si>
    <t>Snoeiwerkzaamheden</t>
  </si>
  <si>
    <t>Verplaatsen beplanting</t>
  </si>
  <si>
    <t>Verleggen kabel/ leiding</t>
  </si>
  <si>
    <t>Verleggen Riool (PVC)</t>
  </si>
  <si>
    <t>Aanbrengen extra verharding</t>
  </si>
  <si>
    <t>Verzetten Kolk</t>
  </si>
  <si>
    <t>Stremmen</t>
  </si>
  <si>
    <t>Omleiden</t>
  </si>
  <si>
    <t>Verkeersregelaar</t>
  </si>
  <si>
    <t>Ntb</t>
  </si>
  <si>
    <r>
      <t xml:space="preserve">Volgens orientatie-klic </t>
    </r>
    <r>
      <rPr>
        <b/>
        <sz val="10"/>
        <color theme="1"/>
        <rFont val="Verdana"/>
        <family val="2"/>
      </rPr>
      <t>GEEN</t>
    </r>
    <r>
      <rPr>
        <sz val="10"/>
        <color theme="1"/>
        <rFont val="Verdana"/>
        <family val="2"/>
      </rPr>
      <t xml:space="preserve"> kabels en leidingen nabij locatie</t>
    </r>
  </si>
  <si>
    <r>
      <t xml:space="preserve">Volgens orientatie-klic </t>
    </r>
    <r>
      <rPr>
        <b/>
        <sz val="10"/>
        <color theme="1"/>
        <rFont val="Verdana"/>
        <family val="2"/>
      </rPr>
      <t>NABIJ</t>
    </r>
    <r>
      <rPr>
        <sz val="10"/>
        <color theme="1"/>
        <rFont val="Verdana"/>
        <family val="2"/>
      </rPr>
      <t xml:space="preserve"> kabels en leidingen nabij locatie</t>
    </r>
  </si>
  <si>
    <r>
      <t xml:space="preserve">Volgens orientatie-klic kabels en leidingen op locatie </t>
    </r>
    <r>
      <rPr>
        <b/>
        <sz val="10"/>
        <color theme="1"/>
        <rFont val="Verdana"/>
        <family val="2"/>
      </rPr>
      <t>AANWEZIG</t>
    </r>
  </si>
  <si>
    <r>
      <t xml:space="preserve">Volgens proefsleuf </t>
    </r>
    <r>
      <rPr>
        <b/>
        <sz val="10"/>
        <color theme="1"/>
        <rFont val="Verdana"/>
        <family val="2"/>
      </rPr>
      <t>GEEN</t>
    </r>
    <r>
      <rPr>
        <sz val="10"/>
        <color theme="1"/>
        <rFont val="Verdana"/>
        <family val="2"/>
      </rPr>
      <t xml:space="preserve"> kabels en leidingen nabij locatie</t>
    </r>
  </si>
  <si>
    <r>
      <t xml:space="preserve">Volgens proefsleuf </t>
    </r>
    <r>
      <rPr>
        <b/>
        <sz val="10"/>
        <color theme="1"/>
        <rFont val="Verdana"/>
        <family val="2"/>
      </rPr>
      <t>NABIJ</t>
    </r>
    <r>
      <rPr>
        <sz val="10"/>
        <color theme="1"/>
        <rFont val="Verdana"/>
        <family val="2"/>
      </rPr>
      <t xml:space="preserve"> kabels en leidingen nabij locatie</t>
    </r>
  </si>
  <si>
    <r>
      <t xml:space="preserve">Volgensproefsleuf kabels en leidingen op locatie </t>
    </r>
    <r>
      <rPr>
        <b/>
        <sz val="10"/>
        <color theme="1"/>
        <rFont val="Verdana"/>
        <family val="2"/>
      </rPr>
      <t>AANWEZIG</t>
    </r>
  </si>
  <si>
    <t>Behouden</t>
  </si>
  <si>
    <t>Vervangen</t>
  </si>
  <si>
    <t>Afvoeren</t>
  </si>
  <si>
    <t>Wisselen</t>
  </si>
  <si>
    <t>Nieuw</t>
  </si>
  <si>
    <t>Bestaand</t>
  </si>
  <si>
    <t>Monolitisch</t>
  </si>
  <si>
    <t>Twee schalen</t>
  </si>
  <si>
    <t>=Projectblad!C17</t>
  </si>
  <si>
    <t>=Projectblad!E17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</si>
</sst>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€&quot;\ #,##0.00;[Red]&quot;€&quot;\ \-#,##0.00"/>
    <numFmt numFmtId="164" formatCode="0&quot; hh&quot;"/>
    <numFmt numFmtId="165" formatCode="0&quot; m&quot;"/>
    <numFmt numFmtId="166" formatCode="&quot;X= &quot;0"/>
    <numFmt numFmtId="167" formatCode="&quot;Y= &quot;0"/>
  </numFmts>
  <fonts count="15" x14ac:knownFonts="1"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rgb="FFFF0000"/>
      <name val="Verdana"/>
      <family val="2"/>
    </font>
    <font>
      <sz val="10"/>
      <color theme="0"/>
      <name val="Verdana"/>
      <family val="2"/>
    </font>
    <font>
      <sz val="10"/>
      <name val="Verdana"/>
      <family val="2"/>
    </font>
    <font>
      <sz val="10"/>
      <color indexed="8"/>
      <name val="Verdana"/>
      <family val="2"/>
    </font>
    <font>
      <b/>
      <sz val="16"/>
      <color theme="1"/>
      <name val="Verdana"/>
      <family val="2"/>
    </font>
    <font>
      <b/>
      <i/>
      <sz val="10"/>
      <color theme="1"/>
      <name val="Verdana"/>
      <family val="2"/>
    </font>
    <font>
      <u/>
      <sz val="10"/>
      <color theme="10"/>
      <name val="Verdana"/>
      <family val="2"/>
    </font>
    <font>
      <sz val="9"/>
      <color indexed="81"/>
      <name val="Tahoma"/>
      <family val="2"/>
    </font>
    <font>
      <b/>
      <sz val="10"/>
      <color theme="0"/>
      <name val="Verdana"/>
      <family val="2"/>
    </font>
    <font>
      <b/>
      <sz val="10"/>
      <name val="Verdana"/>
      <family val="2"/>
    </font>
    <font>
      <i/>
      <u/>
      <sz val="9"/>
      <color theme="10"/>
      <name val="Verdana"/>
      <family val="2"/>
    </font>
    <font>
      <sz val="10"/>
      <color rgb="FF1E1E1E"/>
      <name val="Segoe UI"/>
      <family val="2"/>
    </font>
    <font>
      <u/>
      <sz val="10"/>
      <color theme="1"/>
      <name val="Verdana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indexed="64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medium">
        <color indexed="64"/>
      </right>
      <top style="thin">
        <color theme="0" tint="-0.14999847407452621"/>
      </top>
      <bottom style="medium">
        <color indexed="64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indexed="64"/>
      </right>
      <top style="medium">
        <color indexed="64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 style="medium">
        <color indexed="64"/>
      </left>
      <right style="thin">
        <color theme="0" tint="-0.14999847407452621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 tint="-0.14999847407452621"/>
      </left>
      <right style="medium">
        <color indexed="64"/>
      </right>
      <top style="thin">
        <color theme="0" tint="-0.14999847407452621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8" fillId="0" borderId="0" applyNumberFormat="0" applyFill="0" applyBorder="0" applyAlignment="0" applyProtection="0"/>
    <xf numFmtId="0" fontId="8" fillId="0" borderId="0"/>
  </cellStyleXfs>
  <cellXfs count="219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" fillId="2" borderId="12" xfId="0" applyFont="1" applyFill="1" applyBorder="1" applyAlignment="1">
      <alignment horizontal="center" wrapText="1"/>
    </xf>
    <xf numFmtId="14" fontId="1" fillId="3" borderId="12" xfId="0" applyNumberFormat="1" applyFont="1" applyFill="1" applyBorder="1" applyAlignment="1">
      <alignment horizontal="center" wrapText="1"/>
    </xf>
    <xf numFmtId="14" fontId="1" fillId="2" borderId="12" xfId="0" applyNumberFormat="1" applyFont="1" applyFill="1" applyBorder="1" applyAlignment="1">
      <alignment horizontal="center" wrapText="1"/>
    </xf>
    <xf numFmtId="0" fontId="1" fillId="2" borderId="12" xfId="0" applyFont="1" applyFill="1" applyBorder="1" applyAlignment="1">
      <alignment horizontal="center"/>
    </xf>
    <xf numFmtId="14" fontId="1" fillId="4" borderId="12" xfId="0" applyNumberFormat="1" applyFont="1" applyFill="1" applyBorder="1" applyAlignment="1">
      <alignment horizontal="center" wrapText="1"/>
    </xf>
    <xf numFmtId="0" fontId="1" fillId="0" borderId="12" xfId="0" applyFont="1" applyBorder="1" applyAlignment="1">
      <alignment wrapText="1"/>
    </xf>
    <xf numFmtId="14" fontId="1" fillId="0" borderId="12" xfId="0" applyNumberFormat="1" applyFont="1" applyBorder="1" applyAlignment="1">
      <alignment wrapText="1"/>
    </xf>
    <xf numFmtId="0" fontId="1" fillId="0" borderId="12" xfId="0" applyFont="1" applyBorder="1"/>
    <xf numFmtId="0" fontId="1" fillId="0" borderId="12" xfId="0" applyFont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2" xfId="0" applyBorder="1" applyAlignment="1">
      <alignment horizontal="center" wrapText="1"/>
    </xf>
    <xf numFmtId="14" fontId="0" fillId="0" borderId="12" xfId="0" applyNumberFormat="1" applyBorder="1" applyAlignment="1">
      <alignment horizontal="center" wrapText="1"/>
    </xf>
    <xf numFmtId="0" fontId="0" fillId="0" borderId="12" xfId="0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0" fillId="0" borderId="13" xfId="0" applyBorder="1" applyAlignment="1">
      <alignment horizontal="center"/>
    </xf>
    <xf numFmtId="14" fontId="0" fillId="0" borderId="13" xfId="0" applyNumberForma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4" borderId="0" xfId="0" applyFill="1"/>
    <xf numFmtId="0" fontId="0" fillId="3" borderId="0" xfId="0" applyFill="1"/>
    <xf numFmtId="16" fontId="0" fillId="0" borderId="11" xfId="0" applyNumberFormat="1" applyBorder="1"/>
    <xf numFmtId="0" fontId="0" fillId="0" borderId="16" xfId="0" applyBorder="1"/>
    <xf numFmtId="0" fontId="6" fillId="0" borderId="0" xfId="0" applyFont="1"/>
    <xf numFmtId="0" fontId="0" fillId="0" borderId="17" xfId="0" applyBorder="1"/>
    <xf numFmtId="0" fontId="0" fillId="0" borderId="18" xfId="0" applyBorder="1"/>
    <xf numFmtId="8" fontId="0" fillId="0" borderId="16" xfId="0" applyNumberFormat="1" applyBorder="1"/>
    <xf numFmtId="8" fontId="0" fillId="0" borderId="17" xfId="0" applyNumberFormat="1" applyBorder="1"/>
    <xf numFmtId="0" fontId="0" fillId="0" borderId="19" xfId="0" applyBorder="1"/>
    <xf numFmtId="0" fontId="0" fillId="0" borderId="20" xfId="0" applyBorder="1"/>
    <xf numFmtId="0" fontId="7" fillId="0" borderId="15" xfId="0" applyFont="1" applyBorder="1"/>
    <xf numFmtId="0" fontId="7" fillId="0" borderId="2" xfId="0" applyFont="1" applyBorder="1" applyAlignment="1">
      <alignment horizontal="center"/>
    </xf>
    <xf numFmtId="0" fontId="7" fillId="0" borderId="2" xfId="0" applyFont="1" applyBorder="1"/>
    <xf numFmtId="0" fontId="7" fillId="0" borderId="3" xfId="0" applyFont="1" applyBorder="1"/>
    <xf numFmtId="14" fontId="0" fillId="0" borderId="8" xfId="0" applyNumberFormat="1" applyBorder="1"/>
    <xf numFmtId="0" fontId="0" fillId="6" borderId="1" xfId="0" applyFill="1" applyBorder="1"/>
    <xf numFmtId="0" fontId="0" fillId="6" borderId="2" xfId="0" applyFill="1" applyBorder="1"/>
    <xf numFmtId="0" fontId="0" fillId="6" borderId="3" xfId="0" applyFill="1" applyBorder="1"/>
    <xf numFmtId="0" fontId="0" fillId="0" borderId="0" xfId="0" applyProtection="1">
      <protection hidden="1"/>
    </xf>
    <xf numFmtId="0" fontId="0" fillId="6" borderId="1" xfId="0" applyFill="1" applyBorder="1" applyProtection="1">
      <protection hidden="1"/>
    </xf>
    <xf numFmtId="0" fontId="0" fillId="6" borderId="2" xfId="0" applyFill="1" applyBorder="1" applyProtection="1">
      <protection hidden="1"/>
    </xf>
    <xf numFmtId="0" fontId="0" fillId="0" borderId="4" xfId="0" applyBorder="1" applyProtection="1">
      <protection hidden="1"/>
    </xf>
    <xf numFmtId="0" fontId="0" fillId="0" borderId="5" xfId="0" applyBorder="1" applyProtection="1">
      <protection hidden="1"/>
    </xf>
    <xf numFmtId="0" fontId="0" fillId="6" borderId="2" xfId="0" applyFill="1" applyBorder="1" applyAlignment="1" applyProtection="1">
      <alignment horizontal="right"/>
      <protection hidden="1"/>
    </xf>
    <xf numFmtId="0" fontId="0" fillId="0" borderId="0" xfId="0" applyAlignment="1" applyProtection="1">
      <alignment vertical="center"/>
      <protection hidden="1"/>
    </xf>
    <xf numFmtId="0" fontId="0" fillId="6" borderId="16" xfId="0" applyFill="1" applyBorder="1" applyAlignment="1" applyProtection="1">
      <alignment horizontal="right"/>
      <protection hidden="1"/>
    </xf>
    <xf numFmtId="0" fontId="0" fillId="6" borderId="17" xfId="0" applyFill="1" applyBorder="1" applyAlignment="1" applyProtection="1">
      <alignment horizontal="right"/>
      <protection hidden="1"/>
    </xf>
    <xf numFmtId="0" fontId="0" fillId="6" borderId="18" xfId="0" applyFill="1" applyBorder="1" applyAlignment="1" applyProtection="1">
      <alignment horizontal="right"/>
      <protection hidden="1"/>
    </xf>
    <xf numFmtId="0" fontId="0" fillId="6" borderId="18" xfId="0" applyFill="1" applyBorder="1" applyProtection="1">
      <protection hidden="1"/>
    </xf>
    <xf numFmtId="0" fontId="0" fillId="0" borderId="10" xfId="0" applyBorder="1" applyProtection="1">
      <protection hidden="1"/>
    </xf>
    <xf numFmtId="0" fontId="0" fillId="0" borderId="11" xfId="0" applyBorder="1" applyProtection="1">
      <protection hidden="1"/>
    </xf>
    <xf numFmtId="0" fontId="0" fillId="0" borderId="6" xfId="0" applyBorder="1" applyProtection="1">
      <protection hidden="1"/>
    </xf>
    <xf numFmtId="0" fontId="0" fillId="0" borderId="7" xfId="0" applyBorder="1" applyProtection="1">
      <protection hidden="1"/>
    </xf>
    <xf numFmtId="0" fontId="0" fillId="0" borderId="8" xfId="0" applyBorder="1" applyProtection="1">
      <protection hidden="1"/>
    </xf>
    <xf numFmtId="0" fontId="0" fillId="6" borderId="16" xfId="0" applyFill="1" applyBorder="1" applyProtection="1">
      <protection hidden="1"/>
    </xf>
    <xf numFmtId="0" fontId="0" fillId="6" borderId="17" xfId="0" applyFill="1" applyBorder="1" applyProtection="1">
      <protection hidden="1"/>
    </xf>
    <xf numFmtId="0" fontId="0" fillId="0" borderId="9" xfId="0" applyBorder="1" applyProtection="1">
      <protection hidden="1"/>
    </xf>
    <xf numFmtId="0" fontId="0" fillId="6" borderId="6" xfId="0" applyFill="1" applyBorder="1" applyProtection="1">
      <protection hidden="1"/>
    </xf>
    <xf numFmtId="0" fontId="0" fillId="6" borderId="8" xfId="0" applyFill="1" applyBorder="1" applyProtection="1">
      <protection hidden="1"/>
    </xf>
    <xf numFmtId="0" fontId="0" fillId="6" borderId="4" xfId="0" applyFill="1" applyBorder="1" applyProtection="1">
      <protection hidden="1"/>
    </xf>
    <xf numFmtId="0" fontId="0" fillId="6" borderId="5" xfId="0" applyFill="1" applyBorder="1" applyProtection="1">
      <protection hidden="1"/>
    </xf>
    <xf numFmtId="0" fontId="0" fillId="6" borderId="9" xfId="0" applyFill="1" applyBorder="1" applyProtection="1">
      <protection hidden="1"/>
    </xf>
    <xf numFmtId="0" fontId="0" fillId="6" borderId="11" xfId="0" applyFill="1" applyBorder="1" applyProtection="1">
      <protection hidden="1"/>
    </xf>
    <xf numFmtId="0" fontId="0" fillId="6" borderId="10" xfId="0" applyFill="1" applyBorder="1" applyProtection="1">
      <protection hidden="1"/>
    </xf>
    <xf numFmtId="0" fontId="0" fillId="6" borderId="7" xfId="0" applyFill="1" applyBorder="1" applyProtection="1">
      <protection hidden="1"/>
    </xf>
    <xf numFmtId="0" fontId="0" fillId="6" borderId="0" xfId="0" applyFill="1" applyProtection="1">
      <protection hidden="1"/>
    </xf>
    <xf numFmtId="0" fontId="0" fillId="0" borderId="4" xfId="0" applyBorder="1" applyProtection="1">
      <protection locked="0"/>
    </xf>
    <xf numFmtId="0" fontId="0" fillId="0" borderId="0" xfId="0" applyProtection="1">
      <protection locked="0"/>
    </xf>
    <xf numFmtId="0" fontId="0" fillId="0" borderId="5" xfId="0" applyBorder="1" applyProtection="1"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0" fillId="0" borderId="23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24" xfId="0" applyBorder="1" applyProtection="1">
      <protection locked="0"/>
    </xf>
    <xf numFmtId="0" fontId="0" fillId="0" borderId="25" xfId="0" applyBorder="1" applyProtection="1">
      <protection locked="0"/>
    </xf>
    <xf numFmtId="0" fontId="0" fillId="0" borderId="22" xfId="0" applyBorder="1" applyProtection="1">
      <protection locked="0"/>
    </xf>
    <xf numFmtId="0" fontId="0" fillId="0" borderId="26" xfId="0" applyBorder="1" applyProtection="1">
      <protection locked="0"/>
    </xf>
    <xf numFmtId="0" fontId="0" fillId="0" borderId="9" xfId="0" applyBorder="1" applyProtection="1">
      <protection locked="0"/>
    </xf>
    <xf numFmtId="14" fontId="0" fillId="0" borderId="8" xfId="0" applyNumberFormat="1" applyBorder="1" applyProtection="1">
      <protection locked="0"/>
    </xf>
    <xf numFmtId="0" fontId="0" fillId="0" borderId="7" xfId="0" applyBorder="1" applyAlignment="1" applyProtection="1">
      <alignment horizontal="right"/>
      <protection hidden="1"/>
    </xf>
    <xf numFmtId="14" fontId="0" fillId="0" borderId="6" xfId="0" applyNumberFormat="1" applyBorder="1" applyAlignment="1" applyProtection="1">
      <alignment horizontal="right"/>
      <protection hidden="1"/>
    </xf>
    <xf numFmtId="4" fontId="0" fillId="0" borderId="0" xfId="0" applyNumberFormat="1" applyProtection="1">
      <protection hidden="1"/>
    </xf>
    <xf numFmtId="0" fontId="3" fillId="5" borderId="3" xfId="0" applyFont="1" applyFill="1" applyBorder="1" applyProtection="1">
      <protection hidden="1"/>
    </xf>
    <xf numFmtId="0" fontId="0" fillId="0" borderId="6" xfId="0" applyBorder="1" applyProtection="1">
      <protection locked="0"/>
    </xf>
    <xf numFmtId="49" fontId="0" fillId="7" borderId="2" xfId="0" applyNumberFormat="1" applyFill="1" applyBorder="1" applyAlignment="1" applyProtection="1">
      <alignment horizontal="right" vertical="center"/>
      <protection locked="0"/>
    </xf>
    <xf numFmtId="49" fontId="0" fillId="7" borderId="2" xfId="0" applyNumberFormat="1" applyFill="1" applyBorder="1" applyAlignment="1" applyProtection="1">
      <alignment vertical="center"/>
      <protection hidden="1"/>
    </xf>
    <xf numFmtId="0" fontId="3" fillId="5" borderId="1" xfId="0" applyFont="1" applyFill="1" applyBorder="1" applyAlignment="1" applyProtection="1">
      <alignment horizontal="right"/>
      <protection hidden="1"/>
    </xf>
    <xf numFmtId="49" fontId="0" fillId="7" borderId="3" xfId="0" applyNumberFormat="1" applyFill="1" applyBorder="1" applyAlignment="1" applyProtection="1">
      <alignment vertical="center"/>
      <protection hidden="1"/>
    </xf>
    <xf numFmtId="0" fontId="0" fillId="7" borderId="7" xfId="0" applyFill="1" applyBorder="1" applyAlignment="1" applyProtection="1">
      <alignment vertical="center"/>
      <protection hidden="1"/>
    </xf>
    <xf numFmtId="0" fontId="0" fillId="7" borderId="8" xfId="0" applyFill="1" applyBorder="1" applyAlignment="1" applyProtection="1">
      <alignment vertical="center"/>
      <protection hidden="1"/>
    </xf>
    <xf numFmtId="0" fontId="0" fillId="7" borderId="0" xfId="0" applyFill="1" applyAlignment="1" applyProtection="1">
      <alignment vertical="center"/>
      <protection hidden="1"/>
    </xf>
    <xf numFmtId="0" fontId="0" fillId="7" borderId="5" xfId="0" applyFill="1" applyBorder="1" applyAlignment="1" applyProtection="1">
      <alignment vertical="center"/>
      <protection hidden="1"/>
    </xf>
    <xf numFmtId="0" fontId="0" fillId="7" borderId="10" xfId="0" applyFill="1" applyBorder="1" applyProtection="1">
      <protection hidden="1"/>
    </xf>
    <xf numFmtId="0" fontId="0" fillId="7" borderId="11" xfId="0" applyFill="1" applyBorder="1" applyProtection="1">
      <protection hidden="1"/>
    </xf>
    <xf numFmtId="0" fontId="0" fillId="0" borderId="4" xfId="0" applyBorder="1" applyAlignment="1" applyProtection="1">
      <alignment horizontal="left"/>
      <protection locked="0"/>
    </xf>
    <xf numFmtId="0" fontId="0" fillId="0" borderId="28" xfId="0" applyBorder="1" applyAlignment="1" applyProtection="1">
      <alignment horizontal="center"/>
      <protection locked="0"/>
    </xf>
    <xf numFmtId="0" fontId="0" fillId="0" borderId="29" xfId="0" applyBorder="1" applyAlignment="1" applyProtection="1">
      <alignment horizontal="center"/>
      <protection locked="0"/>
    </xf>
    <xf numFmtId="0" fontId="0" fillId="0" borderId="30" xfId="0" applyBorder="1" applyAlignment="1" applyProtection="1">
      <alignment horizontal="center"/>
      <protection locked="0"/>
    </xf>
    <xf numFmtId="0" fontId="0" fillId="0" borderId="31" xfId="0" applyBorder="1" applyAlignment="1" applyProtection="1">
      <alignment horizontal="center"/>
      <protection locked="0"/>
    </xf>
    <xf numFmtId="0" fontId="0" fillId="0" borderId="32" xfId="0" applyBorder="1" applyAlignment="1" applyProtection="1">
      <alignment horizontal="center"/>
      <protection locked="0"/>
    </xf>
    <xf numFmtId="0" fontId="0" fillId="0" borderId="33" xfId="0" applyBorder="1" applyAlignment="1" applyProtection="1">
      <alignment horizontal="center"/>
      <protection locked="0"/>
    </xf>
    <xf numFmtId="0" fontId="0" fillId="0" borderId="34" xfId="0" applyBorder="1" applyAlignment="1" applyProtection="1">
      <alignment horizontal="center"/>
      <protection locked="0"/>
    </xf>
    <xf numFmtId="0" fontId="0" fillId="0" borderId="35" xfId="0" applyBorder="1" applyAlignment="1" applyProtection="1">
      <alignment horizontal="center"/>
      <protection locked="0"/>
    </xf>
    <xf numFmtId="0" fontId="0" fillId="0" borderId="8" xfId="0" applyBorder="1" applyProtection="1">
      <protection locked="0"/>
    </xf>
    <xf numFmtId="0" fontId="0" fillId="0" borderId="7" xfId="0" applyBorder="1" applyProtection="1">
      <protection locked="0"/>
    </xf>
    <xf numFmtId="0" fontId="8" fillId="0" borderId="4" xfId="1" applyBorder="1" applyProtection="1">
      <protection hidden="1"/>
    </xf>
    <xf numFmtId="0" fontId="0" fillId="0" borderId="36" xfId="0" applyBorder="1"/>
    <xf numFmtId="0" fontId="2" fillId="0" borderId="5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14" fontId="13" fillId="0" borderId="0" xfId="0" applyNumberFormat="1" applyFont="1"/>
    <xf numFmtId="0" fontId="0" fillId="0" borderId="16" xfId="0" applyBorder="1" applyProtection="1">
      <protection locked="0"/>
    </xf>
    <xf numFmtId="0" fontId="2" fillId="0" borderId="16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0" fillId="0" borderId="17" xfId="0" applyBorder="1" applyProtection="1">
      <protection locked="0"/>
    </xf>
    <xf numFmtId="0" fontId="2" fillId="0" borderId="17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0" fillId="0" borderId="18" xfId="0" applyBorder="1" applyProtection="1">
      <protection locked="0"/>
    </xf>
    <xf numFmtId="0" fontId="2" fillId="0" borderId="18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0" fillId="6" borderId="10" xfId="0" applyFill="1" applyBorder="1" applyAlignment="1" applyProtection="1">
      <alignment horizontal="right"/>
      <protection hidden="1"/>
    </xf>
    <xf numFmtId="0" fontId="8" fillId="0" borderId="0" xfId="2"/>
    <xf numFmtId="0" fontId="0" fillId="0" borderId="1" xfId="0" applyBorder="1" applyProtection="1">
      <protection hidden="1"/>
    </xf>
    <xf numFmtId="0" fontId="0" fillId="0" borderId="3" xfId="0" applyBorder="1" applyAlignment="1" applyProtection="1">
      <alignment horizontal="center"/>
      <protection locked="0"/>
    </xf>
    <xf numFmtId="0" fontId="0" fillId="2" borderId="6" xfId="0" applyFill="1" applyBorder="1" applyProtection="1">
      <protection hidden="1"/>
    </xf>
    <xf numFmtId="0" fontId="0" fillId="2" borderId="37" xfId="0" applyFill="1" applyBorder="1"/>
    <xf numFmtId="0" fontId="14" fillId="0" borderId="4" xfId="2" applyFont="1" applyBorder="1" applyProtection="1">
      <protection hidden="1"/>
    </xf>
    <xf numFmtId="0" fontId="0" fillId="0" borderId="5" xfId="0" applyBorder="1" applyAlignment="1" applyProtection="1">
      <alignment horizontal="center"/>
      <protection locked="0"/>
    </xf>
    <xf numFmtId="0" fontId="0" fillId="2" borderId="1" xfId="0" applyFill="1" applyBorder="1" applyProtection="1">
      <protection hidden="1"/>
    </xf>
    <xf numFmtId="0" fontId="0" fillId="2" borderId="38" xfId="0" applyFill="1" applyBorder="1" applyProtection="1">
      <protection hidden="1"/>
    </xf>
    <xf numFmtId="14" fontId="0" fillId="2" borderId="4" xfId="0" applyNumberFormat="1" applyFill="1" applyBorder="1" applyProtection="1">
      <protection hidden="1"/>
    </xf>
    <xf numFmtId="0" fontId="0" fillId="2" borderId="39" xfId="0" applyFill="1" applyBorder="1" applyProtection="1">
      <protection hidden="1"/>
    </xf>
    <xf numFmtId="14" fontId="0" fillId="2" borderId="37" xfId="0" applyNumberFormat="1" applyFill="1" applyBorder="1" applyAlignment="1" applyProtection="1">
      <alignment horizontal="right"/>
      <protection hidden="1"/>
    </xf>
    <xf numFmtId="0" fontId="0" fillId="0" borderId="11" xfId="0" applyBorder="1" applyAlignment="1" applyProtection="1">
      <alignment horizontal="center"/>
      <protection locked="0"/>
    </xf>
    <xf numFmtId="0" fontId="0" fillId="2" borderId="9" xfId="0" applyFill="1" applyBorder="1" applyProtection="1">
      <protection hidden="1"/>
    </xf>
    <xf numFmtId="0" fontId="0" fillId="0" borderId="40" xfId="0" applyBorder="1" applyAlignment="1" applyProtection="1">
      <alignment horizontal="center"/>
      <protection locked="0"/>
    </xf>
    <xf numFmtId="0" fontId="0" fillId="7" borderId="41" xfId="0" applyFill="1" applyBorder="1" applyProtection="1">
      <protection locked="0"/>
    </xf>
    <xf numFmtId="0" fontId="0" fillId="0" borderId="41" xfId="0" applyBorder="1" applyProtection="1">
      <protection locked="0"/>
    </xf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0" xfId="0" applyAlignment="1">
      <alignment horizontal="right"/>
    </xf>
    <xf numFmtId="0" fontId="0" fillId="6" borderId="15" xfId="0" applyFill="1" applyBorder="1" applyAlignment="1" applyProtection="1">
      <alignment horizontal="center"/>
      <protection hidden="1"/>
    </xf>
    <xf numFmtId="0" fontId="0" fillId="0" borderId="2" xfId="0" applyBorder="1"/>
    <xf numFmtId="0" fontId="0" fillId="0" borderId="7" xfId="0" applyBorder="1"/>
    <xf numFmtId="0" fontId="0" fillId="0" borderId="8" xfId="0" applyBorder="1"/>
    <xf numFmtId="0" fontId="10" fillId="5" borderId="2" xfId="0" applyFont="1" applyFill="1" applyBorder="1" applyAlignment="1" applyProtection="1">
      <alignment horizontal="center"/>
      <protection hidden="1"/>
    </xf>
    <xf numFmtId="14" fontId="3" fillId="5" borderId="2" xfId="0" applyNumberFormat="1" applyFont="1" applyFill="1" applyBorder="1" applyAlignment="1" applyProtection="1">
      <alignment horizontal="center"/>
      <protection hidden="1"/>
    </xf>
    <xf numFmtId="0" fontId="3" fillId="5" borderId="2" xfId="0" applyFont="1" applyFill="1" applyBorder="1" applyAlignment="1" applyProtection="1">
      <alignment horizontal="left"/>
      <protection hidden="1"/>
    </xf>
    <xf numFmtId="0" fontId="0" fillId="6" borderId="1" xfId="0" applyFill="1" applyBorder="1" applyAlignment="1" applyProtection="1">
      <alignment horizontal="center"/>
      <protection hidden="1"/>
    </xf>
    <xf numFmtId="0" fontId="0" fillId="6" borderId="2" xfId="0" applyFill="1" applyBorder="1" applyAlignment="1" applyProtection="1">
      <alignment horizontal="center"/>
      <protection hidden="1"/>
    </xf>
    <xf numFmtId="0" fontId="0" fillId="8" borderId="1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0" borderId="6" xfId="0" applyBorder="1" applyAlignment="1" applyProtection="1">
      <alignment horizontal="right"/>
      <protection locked="0"/>
    </xf>
    <xf numFmtId="0" fontId="0" fillId="0" borderId="7" xfId="0" applyBorder="1" applyAlignment="1" applyProtection="1">
      <alignment horizontal="right"/>
      <protection locked="0"/>
    </xf>
    <xf numFmtId="14" fontId="2" fillId="7" borderId="2" xfId="0" applyNumberFormat="1" applyFont="1" applyFill="1" applyBorder="1" applyAlignment="1" applyProtection="1">
      <alignment horizontal="left"/>
      <protection locked="0"/>
    </xf>
    <xf numFmtId="14" fontId="2" fillId="7" borderId="3" xfId="0" applyNumberFormat="1" applyFont="1" applyFill="1" applyBorder="1" applyAlignment="1" applyProtection="1">
      <alignment horizontal="left"/>
      <protection locked="0"/>
    </xf>
    <xf numFmtId="0" fontId="1" fillId="6" borderId="2" xfId="0" applyFont="1" applyFill="1" applyBorder="1" applyAlignment="1" applyProtection="1">
      <alignment horizontal="center"/>
      <protection hidden="1"/>
    </xf>
    <xf numFmtId="0" fontId="1" fillId="6" borderId="3" xfId="0" applyFont="1" applyFill="1" applyBorder="1" applyAlignment="1" applyProtection="1">
      <alignment horizontal="center"/>
      <protection hidden="1"/>
    </xf>
    <xf numFmtId="165" fontId="2" fillId="7" borderId="2" xfId="0" applyNumberFormat="1" applyFont="1" applyFill="1" applyBorder="1" applyAlignment="1" applyProtection="1">
      <alignment horizontal="left"/>
      <protection locked="0"/>
    </xf>
    <xf numFmtId="165" fontId="2" fillId="7" borderId="3" xfId="0" applyNumberFormat="1" applyFont="1" applyFill="1" applyBorder="1" applyAlignment="1" applyProtection="1">
      <alignment horizontal="left"/>
      <protection locked="0"/>
    </xf>
    <xf numFmtId="164" fontId="2" fillId="7" borderId="2" xfId="0" applyNumberFormat="1" applyFont="1" applyFill="1" applyBorder="1" applyAlignment="1" applyProtection="1">
      <alignment horizontal="left"/>
      <protection locked="0"/>
    </xf>
    <xf numFmtId="164" fontId="2" fillId="7" borderId="3" xfId="0" applyNumberFormat="1" applyFont="1" applyFill="1" applyBorder="1" applyAlignment="1" applyProtection="1">
      <alignment horizontal="left"/>
      <protection locked="0"/>
    </xf>
    <xf numFmtId="166" fontId="0" fillId="7" borderId="2" xfId="0" applyNumberFormat="1" applyFill="1" applyBorder="1" applyAlignment="1" applyProtection="1">
      <alignment horizontal="center" vertical="center"/>
      <protection locked="0"/>
    </xf>
    <xf numFmtId="167" fontId="0" fillId="7" borderId="2" xfId="0" applyNumberFormat="1" applyFill="1" applyBorder="1" applyAlignment="1" applyProtection="1">
      <alignment horizontal="center" vertical="center"/>
      <protection locked="0"/>
    </xf>
    <xf numFmtId="167" fontId="0" fillId="7" borderId="3" xfId="0" applyNumberFormat="1" applyFill="1" applyBorder="1" applyAlignment="1" applyProtection="1">
      <alignment horizontal="center" vertical="center"/>
      <protection locked="0"/>
    </xf>
    <xf numFmtId="0" fontId="2" fillId="0" borderId="7" xfId="0" applyFont="1" applyBorder="1" applyAlignment="1" applyProtection="1">
      <alignment horizontal="left"/>
      <protection locked="0"/>
    </xf>
    <xf numFmtId="0" fontId="2" fillId="0" borderId="8" xfId="0" applyFont="1" applyBorder="1" applyAlignment="1" applyProtection="1">
      <alignment horizontal="left"/>
      <protection locked="0"/>
    </xf>
    <xf numFmtId="0" fontId="0" fillId="0" borderId="6" xfId="0" applyBorder="1" applyAlignment="1" applyProtection="1">
      <alignment horizontal="left"/>
      <protection locked="0"/>
    </xf>
    <xf numFmtId="0" fontId="0" fillId="0" borderId="7" xfId="0" applyBorder="1" applyAlignment="1" applyProtection="1">
      <alignment horizontal="left"/>
      <protection locked="0"/>
    </xf>
    <xf numFmtId="0" fontId="0" fillId="0" borderId="8" xfId="0" applyBorder="1" applyAlignment="1" applyProtection="1">
      <alignment horizontal="left"/>
      <protection locked="0"/>
    </xf>
    <xf numFmtId="0" fontId="0" fillId="0" borderId="4" xfId="0" applyBorder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0" fontId="0" fillId="0" borderId="5" xfId="0" applyBorder="1" applyAlignment="1" applyProtection="1">
      <alignment horizontal="left"/>
      <protection locked="0"/>
    </xf>
    <xf numFmtId="0" fontId="0" fillId="0" borderId="9" xfId="0" applyBorder="1" applyAlignment="1" applyProtection="1">
      <alignment horizontal="left"/>
      <protection locked="0"/>
    </xf>
    <xf numFmtId="0" fontId="0" fillId="0" borderId="10" xfId="0" applyBorder="1" applyAlignment="1" applyProtection="1">
      <alignment horizontal="left"/>
      <protection locked="0"/>
    </xf>
    <xf numFmtId="0" fontId="0" fillId="0" borderId="11" xfId="0" applyBorder="1" applyAlignment="1" applyProtection="1">
      <alignment horizontal="left"/>
      <protection locked="0"/>
    </xf>
    <xf numFmtId="0" fontId="8" fillId="6" borderId="1" xfId="1" applyFill="1" applyBorder="1" applyAlignment="1" applyProtection="1">
      <alignment horizontal="left"/>
      <protection hidden="1"/>
    </xf>
    <xf numFmtId="0" fontId="8" fillId="6" borderId="3" xfId="1" applyFill="1" applyBorder="1" applyAlignment="1" applyProtection="1">
      <alignment horizontal="left"/>
      <protection hidden="1"/>
    </xf>
    <xf numFmtId="0" fontId="8" fillId="6" borderId="1" xfId="1" applyFill="1" applyBorder="1" applyAlignment="1" applyProtection="1">
      <alignment horizontal="left" vertical="center"/>
      <protection hidden="1"/>
    </xf>
    <xf numFmtId="0" fontId="8" fillId="6" borderId="3" xfId="1" applyFill="1" applyBorder="1" applyAlignment="1" applyProtection="1">
      <alignment horizontal="left" vertical="center"/>
      <protection hidden="1"/>
    </xf>
    <xf numFmtId="0" fontId="11" fillId="6" borderId="27" xfId="0" applyFont="1" applyFill="1" applyBorder="1" applyAlignment="1" applyProtection="1">
      <alignment horizontal="center"/>
      <protection hidden="1"/>
    </xf>
    <xf numFmtId="0" fontId="0" fillId="0" borderId="9" xfId="0" applyBorder="1" applyAlignment="1" applyProtection="1">
      <alignment horizontal="right"/>
      <protection locked="0"/>
    </xf>
    <xf numFmtId="0" fontId="0" fillId="0" borderId="10" xfId="0" applyBorder="1" applyAlignment="1" applyProtection="1">
      <alignment horizontal="right"/>
      <protection locked="0"/>
    </xf>
    <xf numFmtId="0" fontId="0" fillId="0" borderId="4" xfId="0" applyBorder="1" applyAlignment="1" applyProtection="1">
      <alignment horizontal="right"/>
      <protection locked="0"/>
    </xf>
    <xf numFmtId="0" fontId="0" fillId="0" borderId="10" xfId="0" applyBorder="1"/>
    <xf numFmtId="0" fontId="0" fillId="0" borderId="27" xfId="0" applyBorder="1"/>
    <xf numFmtId="0" fontId="0" fillId="0" borderId="1" xfId="0" applyBorder="1" applyAlignment="1" applyProtection="1">
      <alignment horizontal="center" wrapText="1"/>
      <protection locked="0"/>
    </xf>
    <xf numFmtId="0" fontId="0" fillId="0" borderId="2" xfId="0" applyBorder="1" applyAlignment="1" applyProtection="1">
      <alignment horizontal="center" wrapText="1"/>
      <protection locked="0"/>
    </xf>
    <xf numFmtId="0" fontId="0" fillId="0" borderId="3" xfId="0" applyBorder="1" applyAlignment="1" applyProtection="1">
      <alignment horizontal="center" wrapText="1"/>
      <protection locked="0"/>
    </xf>
    <xf numFmtId="0" fontId="0" fillId="9" borderId="4" xfId="0" applyFill="1" applyBorder="1" applyAlignment="1" applyProtection="1">
      <alignment horizontal="center" wrapText="1"/>
      <protection hidden="1"/>
    </xf>
    <xf numFmtId="0" fontId="0" fillId="9" borderId="0" xfId="0" applyFill="1" applyAlignment="1" applyProtection="1">
      <alignment horizontal="center" wrapText="1"/>
      <protection hidden="1"/>
    </xf>
    <xf numFmtId="0" fontId="0" fillId="9" borderId="5" xfId="0" applyFill="1" applyBorder="1" applyAlignment="1" applyProtection="1">
      <alignment horizontal="center" wrapText="1"/>
      <protection hidden="1"/>
    </xf>
    <xf numFmtId="0" fontId="0" fillId="0" borderId="18" xfId="0" applyBorder="1" applyAlignment="1" applyProtection="1">
      <alignment horizontal="left"/>
      <protection locked="0"/>
    </xf>
    <xf numFmtId="0" fontId="0" fillId="0" borderId="11" xfId="0" applyBorder="1"/>
    <xf numFmtId="0" fontId="0" fillId="0" borderId="3" xfId="0" applyBorder="1"/>
    <xf numFmtId="0" fontId="8" fillId="6" borderId="15" xfId="2" applyFill="1" applyBorder="1" applyAlignment="1" applyProtection="1">
      <alignment horizontal="left"/>
      <protection hidden="1"/>
    </xf>
    <xf numFmtId="0" fontId="8" fillId="6" borderId="15" xfId="2" applyFill="1" applyBorder="1" applyAlignment="1" applyProtection="1">
      <alignment horizontal="left" vertical="center"/>
      <protection hidden="1"/>
    </xf>
    <xf numFmtId="0" fontId="0" fillId="0" borderId="16" xfId="0" applyBorder="1" applyAlignment="1" applyProtection="1">
      <alignment horizontal="left"/>
      <protection locked="0"/>
    </xf>
    <xf numFmtId="0" fontId="0" fillId="0" borderId="17" xfId="0" applyBorder="1" applyAlignment="1" applyProtection="1">
      <alignment horizontal="left"/>
      <protection locked="0"/>
    </xf>
    <xf numFmtId="0" fontId="0" fillId="0" borderId="0" xfId="0" applyProtection="1">
      <protection hidden="1"/>
    </xf>
    <xf numFmtId="0" fontId="0" fillId="0" borderId="5" xfId="0" applyBorder="1"/>
  </cellXfs>
  <cellStyles count="3">
    <cellStyle name="Hyperlink" xfId="1" builtinId="8"/>
    <cellStyle name="Hyperlink 2" xfId="2" xr:uid="{36DF3E67-702D-4736-8B9B-3FD421640DB7}"/>
    <cellStyle name="Standaard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 patternType="solid"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 patternType="solid"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 patternType="solid"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2" Type="http://schemas.openxmlformats.org/officeDocument/2006/relationships/hyperlink" Target="https://b-advice.info/" TargetMode="External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71439</xdr:colOff>
      <xdr:row>185</xdr:row>
      <xdr:rowOff>55566</xdr:rowOff>
    </xdr:from>
    <xdr:to>
      <xdr:col>0</xdr:col>
      <xdr:colOff>964416</xdr:colOff>
      <xdr:row>195</xdr:row>
      <xdr:rowOff>111146</xdr:rowOff>
    </xdr:to>
    <xdr:pic>
      <xdr:nvPicPr>
        <xdr:cNvPr id="21" name="Afbeelding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490" t="7342" r="11997" b="19232"/>
        <a:stretch/>
      </xdr:blipFill>
      <xdr:spPr>
        <a:xfrm>
          <a:off x="71439" y="29741816"/>
          <a:ext cx="892977" cy="1643080"/>
        </a:xfrm>
        <a:prstGeom prst="rect">
          <a:avLst/>
        </a:prstGeom>
      </xdr:spPr>
    </xdr:pic>
    <xdr:clientData/>
  </xdr:twoCellAnchor>
  <xdr:twoCellAnchor editAs="oneCell">
    <xdr:from>
      <xdr:col>6</xdr:col>
      <xdr:colOff>170329</xdr:colOff>
      <xdr:row>15</xdr:row>
      <xdr:rowOff>17928</xdr:rowOff>
    </xdr:from>
    <xdr:to>
      <xdr:col>7</xdr:col>
      <xdr:colOff>744069</xdr:colOff>
      <xdr:row>17</xdr:row>
      <xdr:rowOff>125506</xdr:rowOff>
    </xdr:to>
    <xdr:pic>
      <xdr:nvPicPr>
        <xdr:cNvPr id="15" name="Afbeelding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F6AFA44-830C-4228-A5EA-00EBDFC680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1169" b="10370"/>
        <a:stretch/>
      </xdr:blipFill>
      <xdr:spPr>
        <a:xfrm>
          <a:off x="5950643" y="2467214"/>
          <a:ext cx="1662312" cy="434149"/>
        </a:xfrm>
        <a:prstGeom prst="rect">
          <a:avLst/>
        </a:prstGeom>
      </xdr:spPr>
    </xdr:pic>
    <xdr:clientData/>
  </xdr:twoCellAnchor>
  <xdr:twoCellAnchor editAs="oneCell">
    <xdr:from>
      <xdr:col>6</xdr:col>
      <xdr:colOff>342580</xdr:colOff>
      <xdr:row>126</xdr:row>
      <xdr:rowOff>160085</xdr:rowOff>
    </xdr:from>
    <xdr:to>
      <xdr:col>8</xdr:col>
      <xdr:colOff>82603</xdr:colOff>
      <xdr:row>129</xdr:row>
      <xdr:rowOff>160085</xdr:rowOff>
    </xdr:to>
    <xdr:pic>
      <xdr:nvPicPr>
        <xdr:cNvPr id="25" name="Afbeelding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A570075-047A-47F4-8E2F-B995863D84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1" r="20746" b="1818"/>
        <a:stretch/>
      </xdr:blipFill>
      <xdr:spPr>
        <a:xfrm>
          <a:off x="6122894" y="20734085"/>
          <a:ext cx="1666795" cy="489857"/>
        </a:xfrm>
        <a:prstGeom prst="rect">
          <a:avLst/>
        </a:prstGeom>
      </xdr:spPr>
    </xdr:pic>
    <xdr:clientData/>
  </xdr:twoCellAnchor>
  <xdr:twoCellAnchor editAs="oneCell">
    <xdr:from>
      <xdr:col>6</xdr:col>
      <xdr:colOff>282039</xdr:colOff>
      <xdr:row>192</xdr:row>
      <xdr:rowOff>147452</xdr:rowOff>
    </xdr:from>
    <xdr:to>
      <xdr:col>8</xdr:col>
      <xdr:colOff>37780</xdr:colOff>
      <xdr:row>195</xdr:row>
      <xdr:rowOff>119743</xdr:rowOff>
    </xdr:to>
    <xdr:pic>
      <xdr:nvPicPr>
        <xdr:cNvPr id="27" name="Afbeelding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03CBDD2-987E-452B-B8D8-8CE817F72F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0245" b="2947"/>
        <a:stretch/>
      </xdr:blipFill>
      <xdr:spPr>
        <a:xfrm>
          <a:off x="6062353" y="31498309"/>
          <a:ext cx="1682513" cy="462148"/>
        </a:xfrm>
        <a:prstGeom prst="rect">
          <a:avLst/>
        </a:prstGeom>
      </xdr:spPr>
    </xdr:pic>
    <xdr:clientData/>
  </xdr:twoCellAnchor>
  <xdr:twoCellAnchor editAs="oneCell">
    <xdr:from>
      <xdr:col>6</xdr:col>
      <xdr:colOff>250371</xdr:colOff>
      <xdr:row>259</xdr:row>
      <xdr:rowOff>141514</xdr:rowOff>
    </xdr:from>
    <xdr:to>
      <xdr:col>7</xdr:col>
      <xdr:colOff>797858</xdr:colOff>
      <xdr:row>262</xdr:row>
      <xdr:rowOff>116774</xdr:rowOff>
    </xdr:to>
    <xdr:pic>
      <xdr:nvPicPr>
        <xdr:cNvPr id="29" name="Afbeelding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B9E9434-B62E-4968-A7F0-D091C30C72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2441" b="1907"/>
        <a:stretch/>
      </xdr:blipFill>
      <xdr:spPr>
        <a:xfrm>
          <a:off x="6030685" y="42432514"/>
          <a:ext cx="1636059" cy="465117"/>
        </a:xfrm>
        <a:prstGeom prst="rect">
          <a:avLst/>
        </a:prstGeom>
      </xdr:spPr>
    </xdr:pic>
    <xdr:clientData/>
  </xdr:twoCellAnchor>
  <xdr:twoCellAnchor editAs="oneCell">
    <xdr:from>
      <xdr:col>10</xdr:col>
      <xdr:colOff>651164</xdr:colOff>
      <xdr:row>238</xdr:row>
      <xdr:rowOff>138545</xdr:rowOff>
    </xdr:from>
    <xdr:to>
      <xdr:col>11</xdr:col>
      <xdr:colOff>401786</xdr:colOff>
      <xdr:row>244</xdr:row>
      <xdr:rowOff>206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44288C9-2C6C-4C8F-851D-BE330CEC62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00" y="38875854"/>
          <a:ext cx="498768" cy="856219"/>
        </a:xfrm>
        <a:prstGeom prst="rect">
          <a:avLst/>
        </a:prstGeom>
      </xdr:spPr>
    </xdr:pic>
    <xdr:clientData/>
  </xdr:twoCellAnchor>
  <xdr:twoCellAnchor editAs="oneCell">
    <xdr:from>
      <xdr:col>11</xdr:col>
      <xdr:colOff>11454</xdr:colOff>
      <xdr:row>102</xdr:row>
      <xdr:rowOff>108436</xdr:rowOff>
    </xdr:from>
    <xdr:to>
      <xdr:col>11</xdr:col>
      <xdr:colOff>465888</xdr:colOff>
      <xdr:row>107</xdr:row>
      <xdr:rowOff>141695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D804C34-03B2-4629-A837-B55B7D61A4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14436" y="17066400"/>
          <a:ext cx="454434" cy="864531"/>
        </a:xfrm>
        <a:prstGeom prst="rect">
          <a:avLst/>
        </a:prstGeom>
      </xdr:spPr>
    </xdr:pic>
    <xdr:clientData/>
  </xdr:twoCellAnchor>
  <xdr:twoCellAnchor editAs="oneCell">
    <xdr:from>
      <xdr:col>10</xdr:col>
      <xdr:colOff>743345</xdr:colOff>
      <xdr:row>278</xdr:row>
      <xdr:rowOff>92182</xdr:rowOff>
    </xdr:from>
    <xdr:to>
      <xdr:col>11</xdr:col>
      <xdr:colOff>161455</xdr:colOff>
      <xdr:row>279</xdr:row>
      <xdr:rowOff>111581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E3B092D-07E3-4B28-94D0-2F15B53E88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8181" y="46144691"/>
          <a:ext cx="166256" cy="185653"/>
        </a:xfrm>
        <a:prstGeom prst="rect">
          <a:avLst/>
        </a:prstGeom>
      </xdr:spPr>
    </xdr:pic>
    <xdr:clientData/>
  </xdr:twoCellAnchor>
  <xdr:twoCellAnchor>
    <xdr:from>
      <xdr:col>5</xdr:col>
      <xdr:colOff>130629</xdr:colOff>
      <xdr:row>301</xdr:row>
      <xdr:rowOff>97965</xdr:rowOff>
    </xdr:from>
    <xdr:to>
      <xdr:col>7</xdr:col>
      <xdr:colOff>670755</xdr:colOff>
      <xdr:row>325</xdr:row>
      <xdr:rowOff>27151</xdr:rowOff>
    </xdr:to>
    <xdr:grpSp>
      <xdr:nvGrpSpPr>
        <xdr:cNvPr id="2" name="Groep 1">
          <a:extLst>
            <a:ext uri="{FF2B5EF4-FFF2-40B4-BE49-F238E27FC236}">
              <a16:creationId xmlns:a16="http://schemas.microsoft.com/office/drawing/2014/main" id="{58DD210F-D833-4DED-8CBD-F8A4556E2605}"/>
            </a:ext>
          </a:extLst>
        </xdr:cNvPr>
        <xdr:cNvGrpSpPr/>
      </xdr:nvGrpSpPr>
      <xdr:grpSpPr>
        <a:xfrm>
          <a:off x="4634593" y="49587144"/>
          <a:ext cx="2295448" cy="3848043"/>
          <a:chOff x="8113058" y="50915559"/>
          <a:chExt cx="2466898" cy="3633018"/>
        </a:xfrm>
      </xdr:grpSpPr>
      <xdr:sp macro="" textlink="$B$14">
        <xdr:nvSpPr>
          <xdr:cNvPr id="4" name="Rechthoek 3">
            <a:extLst>
              <a:ext uri="{FF2B5EF4-FFF2-40B4-BE49-F238E27FC236}">
                <a16:creationId xmlns:a16="http://schemas.microsoft.com/office/drawing/2014/main" id="{9A81AD37-E789-D655-8FBE-DBFC229F982F}"/>
              </a:ext>
            </a:extLst>
          </xdr:cNvPr>
          <xdr:cNvSpPr/>
        </xdr:nvSpPr>
        <xdr:spPr>
          <a:xfrm>
            <a:off x="8113058" y="50915559"/>
            <a:ext cx="2466898" cy="3633018"/>
          </a:xfrm>
          <a:prstGeom prst="rect">
            <a:avLst/>
          </a:prstGeom>
          <a:solidFill>
            <a:schemeClr val="bg1">
              <a:lumMod val="85000"/>
            </a:schemeClr>
          </a:solidFill>
          <a:ln w="38100">
            <a:solidFill>
              <a:schemeClr val="tx2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fld id="{DA427CA1-8CB4-4E43-B256-065BDC8A2DF7}" type="TxLink">
              <a:rPr lang="en-US" sz="1000" b="1" i="0" u="none" strike="noStrike">
                <a:solidFill>
                  <a:srgbClr val="000000"/>
                </a:solidFill>
                <a:latin typeface="Verdana"/>
                <a:ea typeface="Verdana"/>
              </a:rPr>
              <a:pPr algn="l"/>
              <a:t> </a:t>
            </a:fld>
            <a:endParaRPr lang="nl-NL" sz="1100"/>
          </a:p>
        </xdr:txBody>
      </xdr:sp>
      <xdr:sp macro="" textlink="">
        <xdr:nvSpPr>
          <xdr:cNvPr id="5" name="Rechthoek 4">
            <a:extLst>
              <a:ext uri="{FF2B5EF4-FFF2-40B4-BE49-F238E27FC236}">
                <a16:creationId xmlns:a16="http://schemas.microsoft.com/office/drawing/2014/main" id="{B9061A02-B289-84F2-1E5F-24E24BCE476E}"/>
              </a:ext>
            </a:extLst>
          </xdr:cNvPr>
          <xdr:cNvSpPr/>
        </xdr:nvSpPr>
        <xdr:spPr>
          <a:xfrm>
            <a:off x="8430083" y="51802960"/>
            <a:ext cx="199288" cy="198932"/>
          </a:xfrm>
          <a:prstGeom prst="rect">
            <a:avLst/>
          </a:prstGeom>
          <a:ln>
            <a:solidFill>
              <a:sysClr val="windowText" lastClr="000000"/>
            </a:solidFill>
          </a:ln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nl-NL" sz="1100"/>
          </a:p>
        </xdr:txBody>
      </xdr:sp>
      <xdr:pic>
        <xdr:nvPicPr>
          <xdr:cNvPr id="7" name="Afbeelding 6">
            <a:extLst>
              <a:ext uri="{FF2B5EF4-FFF2-40B4-BE49-F238E27FC236}">
                <a16:creationId xmlns:a16="http://schemas.microsoft.com/office/drawing/2014/main" id="{DE4AC044-47E6-C34D-1580-8242FA3AE7B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8300054" y="52145367"/>
            <a:ext cx="2125334" cy="2244409"/>
          </a:xfrm>
          <a:prstGeom prst="rect">
            <a:avLst/>
          </a:prstGeom>
          <a:ln w="38100" cap="sq">
            <a:solidFill>
              <a:srgbClr val="000000"/>
            </a:solidFill>
            <a:prstDash val="solid"/>
            <a:miter lim="800000"/>
          </a:ln>
          <a:effectLst>
            <a:outerShdw blurRad="50800" dist="38100" dir="2700000" algn="tl" rotWithShape="0">
              <a:srgbClr val="000000">
                <a:alpha val="43000"/>
              </a:srgbClr>
            </a:outerShdw>
          </a:effectLst>
        </xdr:spPr>
      </xdr:pic>
      <xdr:sp macro="" textlink="">
        <xdr:nvSpPr>
          <xdr:cNvPr id="9" name="Rechthoek 8">
            <a:extLst>
              <a:ext uri="{FF2B5EF4-FFF2-40B4-BE49-F238E27FC236}">
                <a16:creationId xmlns:a16="http://schemas.microsoft.com/office/drawing/2014/main" id="{A356A22C-6BC1-E14B-3A3F-6D304DF5E12C}"/>
              </a:ext>
            </a:extLst>
          </xdr:cNvPr>
          <xdr:cNvSpPr/>
        </xdr:nvSpPr>
        <xdr:spPr>
          <a:xfrm>
            <a:off x="8652124" y="51728889"/>
            <a:ext cx="1856507" cy="346364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nl-NL" sz="1600">
                <a:solidFill>
                  <a:sysClr val="windowText" lastClr="000000"/>
                </a:solidFill>
              </a:rPr>
              <a:t>Container tbv GFT</a:t>
            </a:r>
          </a:p>
        </xdr:txBody>
      </xdr:sp>
      <xdr:sp macro="" textlink="">
        <xdr:nvSpPr>
          <xdr:cNvPr id="10" name="Rechthoek 9">
            <a:extLst>
              <a:ext uri="{FF2B5EF4-FFF2-40B4-BE49-F238E27FC236}">
                <a16:creationId xmlns:a16="http://schemas.microsoft.com/office/drawing/2014/main" id="{D9682C34-6CFC-8B35-05F3-82AB2548DDE1}"/>
              </a:ext>
            </a:extLst>
          </xdr:cNvPr>
          <xdr:cNvSpPr/>
        </xdr:nvSpPr>
        <xdr:spPr>
          <a:xfrm>
            <a:off x="8357073" y="50955357"/>
            <a:ext cx="2147454" cy="37407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nl-NL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9</xdr:col>
      <xdr:colOff>0</xdr:colOff>
      <xdr:row>132</xdr:row>
      <xdr:rowOff>137667</xdr:rowOff>
    </xdr:from>
    <xdr:to>
      <xdr:col>9</xdr:col>
      <xdr:colOff>142662</xdr:colOff>
      <xdr:row>133</xdr:row>
      <xdr:rowOff>109261</xdr:rowOff>
    </xdr:to>
    <xdr:grpSp>
      <xdr:nvGrpSpPr>
        <xdr:cNvPr id="11" name="Groep 10">
          <a:extLst>
            <a:ext uri="{FF2B5EF4-FFF2-40B4-BE49-F238E27FC236}">
              <a16:creationId xmlns:a16="http://schemas.microsoft.com/office/drawing/2014/main" id="{2F0F224B-3535-45FF-887D-49A8B162384F}"/>
            </a:ext>
          </a:extLst>
        </xdr:cNvPr>
        <xdr:cNvGrpSpPr/>
      </xdr:nvGrpSpPr>
      <xdr:grpSpPr>
        <a:xfrm rot="19994012">
          <a:off x="7701643" y="21949917"/>
          <a:ext cx="142662" cy="134880"/>
          <a:chOff x="7698441" y="20181794"/>
          <a:chExt cx="4291853" cy="4146177"/>
        </a:xfrm>
      </xdr:grpSpPr>
      <xdr:sp macro="" textlink="">
        <xdr:nvSpPr>
          <xdr:cNvPr id="12" name="Rechthoek 11">
            <a:extLst>
              <a:ext uri="{FF2B5EF4-FFF2-40B4-BE49-F238E27FC236}">
                <a16:creationId xmlns:a16="http://schemas.microsoft.com/office/drawing/2014/main" id="{A0D6BFF9-EAB3-A33B-42F5-42E6E7441B1C}"/>
              </a:ext>
            </a:extLst>
          </xdr:cNvPr>
          <xdr:cNvSpPr/>
        </xdr:nvSpPr>
        <xdr:spPr>
          <a:xfrm>
            <a:off x="7709647" y="20181794"/>
            <a:ext cx="4258235" cy="4134971"/>
          </a:xfrm>
          <a:prstGeom prst="rect">
            <a:avLst/>
          </a:prstGeom>
          <a:solidFill>
            <a:sysClr val="window" lastClr="FFFFFF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nl-NL" sz="1100"/>
          </a:p>
        </xdr:txBody>
      </xdr:sp>
      <xdr:cxnSp macro="">
        <xdr:nvCxnSpPr>
          <xdr:cNvPr id="13" name="Rechte verbindingslijn 12">
            <a:extLst>
              <a:ext uri="{FF2B5EF4-FFF2-40B4-BE49-F238E27FC236}">
                <a16:creationId xmlns:a16="http://schemas.microsoft.com/office/drawing/2014/main" id="{B4E8714E-2684-470F-9450-D1EC0D3D8952}"/>
              </a:ext>
            </a:extLst>
          </xdr:cNvPr>
          <xdr:cNvCxnSpPr/>
        </xdr:nvCxnSpPr>
        <xdr:spPr>
          <a:xfrm flipV="1">
            <a:off x="7698441" y="20181794"/>
            <a:ext cx="4291853" cy="4146177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" name="Rechte verbindingslijn 13">
            <a:extLst>
              <a:ext uri="{FF2B5EF4-FFF2-40B4-BE49-F238E27FC236}">
                <a16:creationId xmlns:a16="http://schemas.microsoft.com/office/drawing/2014/main" id="{9EF33BCE-2774-2CBC-4F27-B31228335180}"/>
              </a:ext>
            </a:extLst>
          </xdr:cNvPr>
          <xdr:cNvCxnSpPr/>
        </xdr:nvCxnSpPr>
        <xdr:spPr>
          <a:xfrm flipH="1" flipV="1">
            <a:off x="7709647" y="20193000"/>
            <a:ext cx="4269441" cy="4134971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273403</xdr:colOff>
      <xdr:row>132</xdr:row>
      <xdr:rowOff>0</xdr:rowOff>
    </xdr:from>
    <xdr:to>
      <xdr:col>9</xdr:col>
      <xdr:colOff>405925</xdr:colOff>
      <xdr:row>132</xdr:row>
      <xdr:rowOff>140804</xdr:rowOff>
    </xdr:to>
    <xdr:sp macro="" textlink="">
      <xdr:nvSpPr>
        <xdr:cNvPr id="16" name="Ovaal 15">
          <a:extLst>
            <a:ext uri="{FF2B5EF4-FFF2-40B4-BE49-F238E27FC236}">
              <a16:creationId xmlns:a16="http://schemas.microsoft.com/office/drawing/2014/main" id="{46EABAF5-C7D1-40E2-928E-CD5DA2764CE0}"/>
            </a:ext>
          </a:extLst>
        </xdr:cNvPr>
        <xdr:cNvSpPr/>
      </xdr:nvSpPr>
      <xdr:spPr>
        <a:xfrm>
          <a:off x="7975046" y="21812250"/>
          <a:ext cx="132522" cy="140804"/>
        </a:xfrm>
        <a:prstGeom prst="ellipse">
          <a:avLst/>
        </a:prstGeom>
        <a:solidFill>
          <a:sysClr val="window" lastClr="FFFFFF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71439</xdr:colOff>
      <xdr:row>185</xdr:row>
      <xdr:rowOff>55566</xdr:rowOff>
    </xdr:from>
    <xdr:to>
      <xdr:col>0</xdr:col>
      <xdr:colOff>964416</xdr:colOff>
      <xdr:row>195</xdr:row>
      <xdr:rowOff>111146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1A9C4E9E-EA29-417C-BE4E-74D44E8475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9490" t="7342" r="11997" b="19232"/>
        <a:stretch>
          <a:fillRect/>
        </a:stretch>
      </xdr:blipFill>
      <xdr:spPr>
        <a:xfrm>
          <a:off x="71439" y="29842146"/>
          <a:ext cx="892977" cy="16557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170329</xdr:colOff>
      <xdr:row>15</xdr:row>
      <xdr:rowOff>17928</xdr:rowOff>
    </xdr:from>
    <xdr:to>
      <xdr:col>7</xdr:col>
      <xdr:colOff>744069</xdr:colOff>
      <xdr:row>17</xdr:row>
      <xdr:rowOff>125506</xdr:rowOff>
    </xdr:to>
    <xdr:pic>
      <xdr:nvPicPr>
        <xdr:cNvPr id="3" name="Afbeelding 5">
          <a:extLst>
            <a:ext uri="{FF2B5EF4-FFF2-40B4-BE49-F238E27FC236}">
              <a16:creationId xmlns:a16="http://schemas.microsoft.com/office/drawing/2014/main" id="{467A717D-283D-4C27-BABC-20A8A63E19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21169" b="10370"/>
        <a:stretch>
          <a:fillRect/>
        </a:stretch>
      </xdr:blipFill>
      <xdr:spPr>
        <a:xfrm>
          <a:off x="6030109" y="2471568"/>
          <a:ext cx="1663400" cy="442858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390896</xdr:colOff>
      <xdr:row>193</xdr:row>
      <xdr:rowOff>71252</xdr:rowOff>
    </xdr:from>
    <xdr:to>
      <xdr:col>8</xdr:col>
      <xdr:colOff>146637</xdr:colOff>
      <xdr:row>196</xdr:row>
      <xdr:rowOff>43543</xdr:rowOff>
    </xdr:to>
    <xdr:pic>
      <xdr:nvPicPr>
        <xdr:cNvPr id="4" name="Afbeelding 5">
          <a:extLst>
            <a:ext uri="{FF2B5EF4-FFF2-40B4-BE49-F238E27FC236}">
              <a16:creationId xmlns:a16="http://schemas.microsoft.com/office/drawing/2014/main" id="{258BECC6-CE25-400E-8743-F8326280C3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20245" b="2947"/>
        <a:stretch>
          <a:fillRect/>
        </a:stretch>
      </xdr:blipFill>
      <xdr:spPr>
        <a:xfrm>
          <a:off x="6250676" y="31137992"/>
          <a:ext cx="1683601" cy="452351"/>
        </a:xfrm>
        <a:prstGeom prst="rect">
          <a:avLst/>
        </a:prstGeom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bese\HiDrive\Gezamelijke%20map\1.1%20opdrachtgevers\Maassluis\2.0%20Locaties\1.0%20Vogelwijk\2.0%20Locatie\AC111%20-%20Buizerdstraat%23\AC111%20-%20Buizerdstraat.xlsx" TargetMode="External"/><Relationship Id="rId1" Type="http://schemas.openxmlformats.org/officeDocument/2006/relationships/externalLinkPath" Target="/Users/rbese/HiDrive/Gezamelijke%20map/1.1%20opdrachtgevers/Maassluis/2.0%20Locaties/1.0%20Vogelwijk/2.0%20Locatie/AC111%20-%20Buizerdstraat%23/AC111%20-%20Buizerdstraa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jectomschrijving"/>
      <sheetName val="Projectblad"/>
      <sheetName val="Data"/>
      <sheetName val="UItvoering"/>
      <sheetName val="Meerwerkstaat"/>
      <sheetName val="Blad2"/>
    </sheetNames>
    <sheetDataSet>
      <sheetData sheetId="0">
        <row r="2">
          <cell r="D2" t="str">
            <v>Gemeente: Maassluis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3"/>
  <sheetViews>
    <sheetView workbookViewId="0">
      <selection activeCell="E13" sqref="E13"/>
    </sheetView>
  </sheetViews>
  <sheetFormatPr defaultRowHeight="12.75" x14ac:dyDescent="0.2"/>
  <cols>
    <col min="3" max="3" width="9.625" bestFit="1" customWidth="1"/>
    <col min="4" max="4" width="9.25" bestFit="1" customWidth="1"/>
    <col min="5" max="5" width="10.75" customWidth="1"/>
  </cols>
  <sheetData>
    <row r="1" spans="1:16" ht="13.5" thickBot="1" x14ac:dyDescent="0.25">
      <c r="A1" s="3"/>
      <c r="B1" s="4"/>
      <c r="C1" s="4"/>
      <c r="D1" s="4"/>
      <c r="E1" s="4"/>
      <c r="F1" s="36" t="s">
        <v>0</v>
      </c>
      <c r="G1" s="4" t="s">
        <v>1</v>
      </c>
      <c r="H1" s="48"/>
      <c r="P1" s="31"/>
    </row>
    <row r="2" spans="1:16" x14ac:dyDescent="0.2">
      <c r="A2" s="155" t="s">
        <v>2</v>
      </c>
      <c r="B2" s="156"/>
      <c r="C2" s="156"/>
      <c r="D2" s="4" t="s">
        <v>112</v>
      </c>
      <c r="E2" s="4"/>
      <c r="F2" s="4"/>
      <c r="G2" s="4"/>
      <c r="H2" s="5"/>
    </row>
    <row r="3" spans="1:16" ht="14.25" x14ac:dyDescent="0.25">
      <c r="A3" s="157" t="s">
        <v>3</v>
      </c>
      <c r="B3" s="158"/>
      <c r="C3" s="158"/>
      <c r="D3" s="124">
        <f ca="1">TODAY()</f>
        <v>46086</v>
      </c>
      <c r="E3" s="31"/>
      <c r="H3" s="2"/>
      <c r="M3" s="31"/>
    </row>
    <row r="4" spans="1:16" x14ac:dyDescent="0.2">
      <c r="A4" s="157" t="s">
        <v>4</v>
      </c>
      <c r="B4" s="158"/>
      <c r="C4" s="158"/>
      <c r="H4" s="2"/>
    </row>
    <row r="5" spans="1:16" ht="13.5" thickBot="1" x14ac:dyDescent="0.25">
      <c r="A5" s="157" t="s">
        <v>5</v>
      </c>
      <c r="B5" s="158"/>
      <c r="C5" s="158"/>
      <c r="D5" t="s">
        <v>113</v>
      </c>
      <c r="H5" s="2"/>
    </row>
    <row r="6" spans="1:16" ht="13.5" thickBot="1" x14ac:dyDescent="0.25">
      <c r="A6" s="49"/>
      <c r="B6" s="50"/>
      <c r="C6" s="50"/>
      <c r="D6" s="50" t="s">
        <v>6</v>
      </c>
      <c r="E6" s="50"/>
      <c r="F6" s="50"/>
      <c r="G6" s="50"/>
      <c r="H6" s="51"/>
    </row>
    <row r="7" spans="1:16" x14ac:dyDescent="0.2">
      <c r="A7" s="3"/>
      <c r="B7" s="4"/>
      <c r="C7" s="4"/>
      <c r="D7" s="4"/>
      <c r="E7" s="4"/>
      <c r="F7" s="4"/>
      <c r="G7" s="4"/>
      <c r="H7" s="5"/>
    </row>
    <row r="8" spans="1:16" x14ac:dyDescent="0.2">
      <c r="A8" s="1"/>
      <c r="H8" s="2"/>
    </row>
    <row r="9" spans="1:16" x14ac:dyDescent="0.2">
      <c r="A9" s="1"/>
      <c r="H9" s="2"/>
    </row>
    <row r="10" spans="1:16" x14ac:dyDescent="0.2">
      <c r="A10" s="1"/>
      <c r="H10" s="2"/>
    </row>
    <row r="11" spans="1:16" x14ac:dyDescent="0.2">
      <c r="A11" s="1"/>
      <c r="H11" s="2"/>
    </row>
    <row r="12" spans="1:16" x14ac:dyDescent="0.2">
      <c r="A12" s="1"/>
      <c r="H12" s="2"/>
    </row>
    <row r="13" spans="1:16" x14ac:dyDescent="0.2">
      <c r="A13" s="1"/>
      <c r="H13" s="2"/>
    </row>
    <row r="14" spans="1:16" x14ac:dyDescent="0.2">
      <c r="A14" s="1"/>
      <c r="H14" s="2"/>
    </row>
    <row r="15" spans="1:16" x14ac:dyDescent="0.2">
      <c r="A15" s="1"/>
      <c r="H15" s="2"/>
    </row>
    <row r="16" spans="1:16" x14ac:dyDescent="0.2">
      <c r="A16" s="1"/>
      <c r="H16" s="2"/>
    </row>
    <row r="17" spans="1:8" x14ac:dyDescent="0.2">
      <c r="A17" s="1"/>
      <c r="H17" s="2"/>
    </row>
    <row r="18" spans="1:8" ht="13.5" thickBot="1" x14ac:dyDescent="0.25">
      <c r="A18" s="6"/>
      <c r="B18" s="7"/>
      <c r="C18" s="7"/>
      <c r="D18" s="7"/>
      <c r="E18" s="7"/>
      <c r="F18" s="7"/>
      <c r="G18" s="7"/>
      <c r="H18" s="8"/>
    </row>
    <row r="19" spans="1:8" x14ac:dyDescent="0.2">
      <c r="A19" s="1"/>
      <c r="H19" s="2"/>
    </row>
    <row r="20" spans="1:8" x14ac:dyDescent="0.2">
      <c r="A20" s="1"/>
      <c r="H20" s="2"/>
    </row>
    <row r="21" spans="1:8" x14ac:dyDescent="0.2">
      <c r="A21" s="1"/>
      <c r="H21" s="2"/>
    </row>
    <row r="22" spans="1:8" x14ac:dyDescent="0.2">
      <c r="A22" s="1"/>
      <c r="H22" s="2"/>
    </row>
    <row r="23" spans="1:8" x14ac:dyDescent="0.2">
      <c r="A23" s="1"/>
      <c r="H23" s="2"/>
    </row>
    <row r="24" spans="1:8" x14ac:dyDescent="0.2">
      <c r="A24" s="1"/>
      <c r="H24" s="2"/>
    </row>
    <row r="25" spans="1:8" x14ac:dyDescent="0.2">
      <c r="A25" s="1"/>
      <c r="H25" s="2"/>
    </row>
    <row r="26" spans="1:8" x14ac:dyDescent="0.2">
      <c r="A26" s="1"/>
      <c r="H26" s="2"/>
    </row>
    <row r="27" spans="1:8" x14ac:dyDescent="0.2">
      <c r="A27" s="1"/>
      <c r="H27" s="2"/>
    </row>
    <row r="28" spans="1:8" x14ac:dyDescent="0.2">
      <c r="A28" s="1"/>
      <c r="H28" s="2"/>
    </row>
    <row r="29" spans="1:8" x14ac:dyDescent="0.2">
      <c r="A29" s="1"/>
      <c r="H29" s="2"/>
    </row>
    <row r="30" spans="1:8" x14ac:dyDescent="0.2">
      <c r="A30" s="1"/>
      <c r="H30" s="2"/>
    </row>
    <row r="31" spans="1:8" x14ac:dyDescent="0.2">
      <c r="A31" s="1"/>
      <c r="H31" s="2"/>
    </row>
    <row r="32" spans="1:8" x14ac:dyDescent="0.2">
      <c r="A32" s="1"/>
      <c r="H32" s="2"/>
    </row>
    <row r="33" spans="1:8" x14ac:dyDescent="0.2">
      <c r="A33" s="1"/>
      <c r="H33" s="2"/>
    </row>
    <row r="34" spans="1:8" x14ac:dyDescent="0.2">
      <c r="A34" s="1"/>
      <c r="H34" s="2"/>
    </row>
    <row r="35" spans="1:8" x14ac:dyDescent="0.2">
      <c r="A35" s="1"/>
      <c r="H35" s="2"/>
    </row>
    <row r="36" spans="1:8" x14ac:dyDescent="0.2">
      <c r="A36" s="1"/>
      <c r="H36" s="2"/>
    </row>
    <row r="37" spans="1:8" x14ac:dyDescent="0.2">
      <c r="A37" s="1"/>
      <c r="H37" s="2"/>
    </row>
    <row r="38" spans="1:8" x14ac:dyDescent="0.2">
      <c r="A38" s="1"/>
      <c r="H38" s="2"/>
    </row>
    <row r="39" spans="1:8" x14ac:dyDescent="0.2">
      <c r="A39" s="1"/>
      <c r="H39" s="2"/>
    </row>
    <row r="40" spans="1:8" x14ac:dyDescent="0.2">
      <c r="A40" s="1"/>
      <c r="H40" s="2"/>
    </row>
    <row r="41" spans="1:8" x14ac:dyDescent="0.2">
      <c r="A41" s="1"/>
      <c r="H41" s="2"/>
    </row>
    <row r="42" spans="1:8" x14ac:dyDescent="0.2">
      <c r="A42" s="1"/>
      <c r="H42" s="2"/>
    </row>
    <row r="43" spans="1:8" ht="13.5" thickBot="1" x14ac:dyDescent="0.25">
      <c r="A43" s="1"/>
      <c r="H43" s="2"/>
    </row>
    <row r="44" spans="1:8" x14ac:dyDescent="0.2">
      <c r="A44" s="3" t="s">
        <v>7</v>
      </c>
      <c r="B44" s="4"/>
      <c r="C44" s="4"/>
      <c r="D44" s="5"/>
      <c r="H44" s="2"/>
    </row>
    <row r="45" spans="1:8" ht="13.5" thickBot="1" x14ac:dyDescent="0.25">
      <c r="A45" s="6"/>
      <c r="B45" s="7"/>
      <c r="C45" s="7"/>
      <c r="D45" s="8"/>
      <c r="H45" s="2"/>
    </row>
    <row r="46" spans="1:8" x14ac:dyDescent="0.2">
      <c r="A46" s="3"/>
      <c r="B46" s="4"/>
      <c r="C46" s="4"/>
      <c r="D46" s="4"/>
      <c r="E46" s="4"/>
      <c r="F46" s="4"/>
      <c r="G46" s="4"/>
      <c r="H46" s="5"/>
    </row>
    <row r="47" spans="1:8" x14ac:dyDescent="0.2">
      <c r="A47" s="1"/>
      <c r="H47" s="2"/>
    </row>
    <row r="48" spans="1:8" x14ac:dyDescent="0.2">
      <c r="A48" s="1" t="s">
        <v>8</v>
      </c>
      <c r="C48" t="s">
        <v>9</v>
      </c>
      <c r="H48" s="2"/>
    </row>
    <row r="49" spans="1:8" x14ac:dyDescent="0.2">
      <c r="A49" s="1" t="s">
        <v>10</v>
      </c>
      <c r="C49" t="s">
        <v>9</v>
      </c>
      <c r="H49" s="2"/>
    </row>
    <row r="50" spans="1:8" x14ac:dyDescent="0.2">
      <c r="A50" s="1"/>
      <c r="H50" s="2"/>
    </row>
    <row r="51" spans="1:8" x14ac:dyDescent="0.2">
      <c r="A51" s="1"/>
      <c r="H51" s="2"/>
    </row>
    <row r="52" spans="1:8" x14ac:dyDescent="0.2">
      <c r="A52" s="1"/>
      <c r="H52" s="2"/>
    </row>
    <row r="53" spans="1:8" ht="13.5" thickBot="1" x14ac:dyDescent="0.25">
      <c r="A53" s="6"/>
      <c r="B53" s="7"/>
      <c r="C53" s="7"/>
      <c r="D53" s="7"/>
      <c r="E53" s="7"/>
      <c r="F53" s="7"/>
      <c r="G53" s="7"/>
      <c r="H53" s="35" t="s">
        <v>11</v>
      </c>
    </row>
  </sheetData>
  <mergeCells count="4">
    <mergeCell ref="A2:C2"/>
    <mergeCell ref="A3:C3"/>
    <mergeCell ref="A4:C4"/>
    <mergeCell ref="A5:C5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331"/>
  <sheetViews>
    <sheetView tabSelected="1" topLeftCell="A122" zoomScale="70" zoomScaleNormal="70" zoomScaleSheetLayoutView="100" workbookViewId="0">
      <selection activeCell="J145" sqref="J145"/>
    </sheetView>
  </sheetViews>
  <sheetFormatPr defaultColWidth="9" defaultRowHeight="12.75" x14ac:dyDescent="0.2"/>
  <cols>
    <col min="1" max="1" width="13" style="52" customWidth="1"/>
    <col min="2" max="2" width="10" style="52" customWidth="1"/>
    <col min="3" max="3" width="13" style="52" customWidth="1"/>
    <col min="4" max="4" width="10" style="52" customWidth="1"/>
    <col min="5" max="5" width="13" style="52" bestFit="1" customWidth="1"/>
    <col min="6" max="6" width="10" style="52" customWidth="1"/>
    <col min="7" max="7" width="13" style="52" customWidth="1"/>
    <col min="8" max="8" width="10" style="52" customWidth="1"/>
    <col min="9" max="16384" width="9" style="52"/>
  </cols>
  <sheetData>
    <row r="1" spans="1:8" ht="13.5" thickBot="1" x14ac:dyDescent="0.25">
      <c r="A1" s="100" t="s">
        <v>12</v>
      </c>
      <c r="B1" s="165" t="str">
        <f>Projectomschrijving!D2</f>
        <v>Gemeente:</v>
      </c>
      <c r="C1" s="165"/>
      <c r="D1" s="164">
        <f ca="1">Projectomschrijving!D3</f>
        <v>46086</v>
      </c>
      <c r="E1" s="164"/>
      <c r="F1" s="163" t="str">
        <f>$B$14</f>
        <v/>
      </c>
      <c r="G1" s="163"/>
      <c r="H1" s="96" t="str">
        <f>Projectomschrijving!D5</f>
        <v>LL</v>
      </c>
    </row>
    <row r="2" spans="1:8" ht="13.5" thickBot="1" x14ac:dyDescent="0.25">
      <c r="A2" s="53" t="s">
        <v>13</v>
      </c>
      <c r="B2" s="54" t="s">
        <v>14</v>
      </c>
      <c r="C2" s="54"/>
      <c r="D2" s="54"/>
      <c r="E2" s="159" t="s">
        <v>128</v>
      </c>
      <c r="F2" s="160"/>
      <c r="G2" s="161"/>
      <c r="H2" s="162"/>
    </row>
    <row r="3" spans="1:8" x14ac:dyDescent="0.2">
      <c r="A3" s="80"/>
      <c r="B3" s="121" t="str">
        <f t="shared" ref="B3:B5" si="0">IF(A3&gt;"","OOC……….","")</f>
        <v/>
      </c>
      <c r="C3" s="125" t="s">
        <v>50</v>
      </c>
      <c r="D3" s="126"/>
      <c r="E3" t="s">
        <v>129</v>
      </c>
      <c r="F3" s="127"/>
      <c r="G3" s="125" t="s">
        <v>50</v>
      </c>
      <c r="H3" s="122"/>
    </row>
    <row r="4" spans="1:8" x14ac:dyDescent="0.2">
      <c r="A4" s="80"/>
      <c r="B4" s="121" t="str">
        <f t="shared" si="0"/>
        <v/>
      </c>
      <c r="C4" s="128"/>
      <c r="D4" s="129"/>
      <c r="E4" t="s">
        <v>129</v>
      </c>
      <c r="F4" s="130"/>
      <c r="G4" s="128"/>
      <c r="H4" s="121"/>
    </row>
    <row r="5" spans="1:8" x14ac:dyDescent="0.2">
      <c r="A5" s="80"/>
      <c r="B5" s="121" t="str">
        <f t="shared" si="0"/>
        <v/>
      </c>
      <c r="C5" s="128"/>
      <c r="D5" s="129"/>
      <c r="E5" t="s">
        <v>129</v>
      </c>
      <c r="F5" s="130"/>
      <c r="G5" s="128"/>
      <c r="H5" s="121"/>
    </row>
    <row r="6" spans="1:8" x14ac:dyDescent="0.2">
      <c r="A6" s="80"/>
      <c r="B6" s="121" t="str">
        <f>IF(A6&gt;"","OOC……….","")</f>
        <v/>
      </c>
      <c r="C6" s="128"/>
      <c r="D6" s="129"/>
      <c r="E6" t="s">
        <v>129</v>
      </c>
      <c r="F6" s="130"/>
      <c r="G6" s="128"/>
      <c r="H6" s="121"/>
    </row>
    <row r="7" spans="1:8" s="95" customFormat="1" ht="13.5" thickBot="1" x14ac:dyDescent="0.25">
      <c r="A7" s="91"/>
      <c r="B7" s="121" t="str">
        <f t="shared" ref="B7" si="1">IF(A7&gt;"","OOC……….","")</f>
        <v/>
      </c>
      <c r="C7" s="131"/>
      <c r="D7" s="132"/>
      <c r="E7" t="s">
        <v>129</v>
      </c>
      <c r="F7" s="133"/>
      <c r="G7" s="131"/>
      <c r="H7" s="123"/>
    </row>
    <row r="8" spans="1:8" ht="13.5" thickBot="1" x14ac:dyDescent="0.25">
      <c r="A8" s="53" t="s">
        <v>15</v>
      </c>
      <c r="B8" s="54" t="s">
        <v>14</v>
      </c>
      <c r="C8" s="54"/>
      <c r="D8" s="79"/>
      <c r="E8" s="166" t="s">
        <v>128</v>
      </c>
      <c r="F8" s="167"/>
      <c r="G8" s="168" t="s">
        <v>131</v>
      </c>
      <c r="H8" s="169"/>
    </row>
    <row r="9" spans="1:8" x14ac:dyDescent="0.2">
      <c r="A9" s="80"/>
      <c r="B9" s="121" t="str">
        <f>IF(A9&gt;"","OOC……….","")</f>
        <v/>
      </c>
      <c r="C9" s="97" t="s">
        <v>50</v>
      </c>
      <c r="D9" s="126"/>
      <c r="E9" t="s">
        <v>129</v>
      </c>
      <c r="F9" s="126"/>
      <c r="G9" t="str">
        <f>IF(C9&gt;"",C9,"")</f>
        <v>Bouwjaar</v>
      </c>
      <c r="H9" s="126"/>
    </row>
    <row r="10" spans="1:8" x14ac:dyDescent="0.2">
      <c r="A10" s="80"/>
      <c r="B10" s="121" t="str">
        <f t="shared" ref="B10:B11" si="2">IF(A10&gt;"","OOC……….","")</f>
        <v/>
      </c>
      <c r="C10" s="80"/>
      <c r="D10" s="129"/>
      <c r="E10" t="s">
        <v>129</v>
      </c>
      <c r="F10" s="129"/>
      <c r="G10" t="str">
        <f>IF(C10&gt;"",C10,"")</f>
        <v/>
      </c>
      <c r="H10" s="129"/>
    </row>
    <row r="11" spans="1:8" x14ac:dyDescent="0.2">
      <c r="A11" s="80"/>
      <c r="B11" s="121" t="str">
        <f t="shared" si="2"/>
        <v/>
      </c>
      <c r="C11" s="80"/>
      <c r="D11" s="129"/>
      <c r="E11" t="s">
        <v>129</v>
      </c>
      <c r="F11" s="129"/>
      <c r="G11" t="str">
        <f>IF(C11&gt;"",C11,"")</f>
        <v/>
      </c>
      <c r="H11" s="129"/>
    </row>
    <row r="12" spans="1:8" x14ac:dyDescent="0.2">
      <c r="A12" s="80"/>
      <c r="B12" s="121" t="str">
        <f t="shared" ref="B12:B13" si="3">IF(A12&gt;"","OOC……….","")</f>
        <v/>
      </c>
      <c r="C12" s="80"/>
      <c r="D12" s="129"/>
      <c r="E12" t="s">
        <v>129</v>
      </c>
      <c r="F12" s="129"/>
      <c r="G12" t="str">
        <f>IF(C12&gt;"",C12,"")</f>
        <v/>
      </c>
      <c r="H12" s="129"/>
    </row>
    <row r="13" spans="1:8" ht="13.5" thickBot="1" x14ac:dyDescent="0.25">
      <c r="A13" s="91"/>
      <c r="B13" s="121" t="str">
        <f t="shared" si="3"/>
        <v/>
      </c>
      <c r="C13" s="91"/>
      <c r="D13" s="132"/>
      <c r="E13" t="s">
        <v>129</v>
      </c>
      <c r="F13" s="132"/>
      <c r="G13" t="str">
        <f>IF(C13&gt;"",C13,"")</f>
        <v/>
      </c>
      <c r="H13" s="132"/>
    </row>
    <row r="14" spans="1:8" ht="13.5" thickBot="1" x14ac:dyDescent="0.25">
      <c r="A14" s="53" t="s">
        <v>16</v>
      </c>
      <c r="B14" s="174" t="str">
        <f>IF(B20="","",CONCATENATE("LOC",B20,F19))</f>
        <v/>
      </c>
      <c r="C14" s="174"/>
      <c r="D14" s="175"/>
      <c r="E14" s="53"/>
      <c r="F14" s="57" t="s">
        <v>17</v>
      </c>
      <c r="G14" s="172" t="s">
        <v>18</v>
      </c>
      <c r="H14" s="173"/>
    </row>
    <row r="15" spans="1:8" ht="13.5" thickBot="1" x14ac:dyDescent="0.25">
      <c r="A15" s="194" t="s">
        <v>19</v>
      </c>
      <c r="B15" s="195"/>
      <c r="C15" s="176"/>
      <c r="D15" s="177"/>
      <c r="E15" s="54"/>
      <c r="F15" s="57" t="s">
        <v>20</v>
      </c>
      <c r="G15" s="178"/>
      <c r="H15" s="179"/>
    </row>
    <row r="16" spans="1:8" s="58" customFormat="1" ht="13.5" thickBot="1" x14ac:dyDescent="0.25">
      <c r="A16" s="196" t="s">
        <v>119</v>
      </c>
      <c r="B16" s="197"/>
      <c r="C16" s="180"/>
      <c r="D16" s="180"/>
      <c r="E16" s="181"/>
      <c r="F16" s="182"/>
      <c r="G16" s="102"/>
      <c r="H16" s="103"/>
    </row>
    <row r="17" spans="1:9" s="58" customFormat="1" ht="13.5" thickBot="1" x14ac:dyDescent="0.25">
      <c r="A17" s="196" t="s">
        <v>120</v>
      </c>
      <c r="B17" s="197"/>
      <c r="C17" s="98"/>
      <c r="D17" s="99" t="s">
        <v>121</v>
      </c>
      <c r="E17" s="98"/>
      <c r="F17" s="101" t="s">
        <v>121</v>
      </c>
      <c r="G17" s="104"/>
      <c r="H17" s="105"/>
    </row>
    <row r="18" spans="1:9" ht="13.5" thickBot="1" x14ac:dyDescent="0.25">
      <c r="A18" s="55"/>
      <c r="G18" s="106"/>
      <c r="H18" s="107"/>
    </row>
    <row r="19" spans="1:9" x14ac:dyDescent="0.2">
      <c r="A19" s="59" t="s">
        <v>21</v>
      </c>
      <c r="B19" s="185"/>
      <c r="C19" s="186"/>
      <c r="D19" s="187"/>
      <c r="E19" s="59" t="s">
        <v>22</v>
      </c>
      <c r="F19" s="185"/>
      <c r="G19" s="186"/>
      <c r="H19" s="187"/>
    </row>
    <row r="20" spans="1:9" x14ac:dyDescent="0.2">
      <c r="A20" s="60" t="s">
        <v>23</v>
      </c>
      <c r="B20" s="188"/>
      <c r="C20" s="189"/>
      <c r="D20" s="190"/>
      <c r="E20" s="60" t="s">
        <v>24</v>
      </c>
      <c r="F20" s="188"/>
      <c r="G20" s="189"/>
      <c r="H20" s="190"/>
    </row>
    <row r="21" spans="1:9" ht="13.5" thickBot="1" x14ac:dyDescent="0.25">
      <c r="A21" s="61" t="s">
        <v>25</v>
      </c>
      <c r="B21" s="191"/>
      <c r="C21" s="192"/>
      <c r="D21" s="193"/>
      <c r="E21" s="62"/>
      <c r="F21" s="63"/>
      <c r="G21" s="63"/>
      <c r="H21" s="64"/>
    </row>
    <row r="22" spans="1:9" ht="13.5" thickBot="1" x14ac:dyDescent="0.25">
      <c r="A22" s="65"/>
      <c r="B22" s="66"/>
      <c r="C22" s="66"/>
      <c r="D22" s="66"/>
      <c r="E22" s="66"/>
      <c r="F22" s="66"/>
      <c r="G22" s="66"/>
      <c r="H22" s="67"/>
    </row>
    <row r="23" spans="1:9" x14ac:dyDescent="0.2">
      <c r="A23" s="68" t="s">
        <v>26</v>
      </c>
      <c r="B23" s="65" t="s">
        <v>114</v>
      </c>
      <c r="C23" s="114" t="s">
        <v>117</v>
      </c>
      <c r="D23" s="72"/>
      <c r="E23" s="120" t="s">
        <v>27</v>
      </c>
      <c r="F23" s="110" t="s">
        <v>115</v>
      </c>
      <c r="G23" s="93" t="s">
        <v>28</v>
      </c>
      <c r="H23" s="92"/>
    </row>
    <row r="24" spans="1:9" x14ac:dyDescent="0.2">
      <c r="A24" s="69"/>
      <c r="B24" s="119" t="s">
        <v>29</v>
      </c>
      <c r="C24" s="113" t="s">
        <v>116</v>
      </c>
      <c r="D24" s="69"/>
      <c r="E24" s="52" t="s">
        <v>30</v>
      </c>
      <c r="F24" s="109" t="s">
        <v>115</v>
      </c>
      <c r="H24" s="56"/>
    </row>
    <row r="25" spans="1:9" x14ac:dyDescent="0.2">
      <c r="A25" s="69"/>
      <c r="B25" s="119" t="s">
        <v>31</v>
      </c>
      <c r="C25" s="113" t="s">
        <v>116</v>
      </c>
      <c r="D25" s="69"/>
      <c r="E25" s="52" t="s">
        <v>32</v>
      </c>
      <c r="F25" s="109" t="s">
        <v>115</v>
      </c>
      <c r="H25" s="56"/>
    </row>
    <row r="26" spans="1:9" ht="13.5" thickBot="1" x14ac:dyDescent="0.25">
      <c r="A26" s="69"/>
      <c r="B26" s="55" t="s">
        <v>33</v>
      </c>
      <c r="C26" s="112" t="s">
        <v>115</v>
      </c>
      <c r="D26" s="74"/>
      <c r="H26" s="56"/>
    </row>
    <row r="27" spans="1:9" x14ac:dyDescent="0.2">
      <c r="A27" s="69"/>
      <c r="B27" s="65" t="s">
        <v>34</v>
      </c>
      <c r="C27" s="110" t="s">
        <v>115</v>
      </c>
      <c r="D27" s="66"/>
      <c r="E27" s="94" t="s">
        <v>35</v>
      </c>
      <c r="F27" s="183" t="s">
        <v>18</v>
      </c>
      <c r="G27" s="183"/>
      <c r="H27" s="184"/>
    </row>
    <row r="28" spans="1:9" ht="13.5" thickBot="1" x14ac:dyDescent="0.25">
      <c r="A28" s="62"/>
      <c r="B28" s="70" t="s">
        <v>36</v>
      </c>
      <c r="C28" s="111" t="s">
        <v>115</v>
      </c>
      <c r="D28" s="63"/>
      <c r="E28" s="70"/>
      <c r="F28" s="63"/>
      <c r="G28" s="63"/>
      <c r="H28" s="64"/>
    </row>
    <row r="29" spans="1:9" x14ac:dyDescent="0.2">
      <c r="A29" s="97" t="s">
        <v>37</v>
      </c>
      <c r="B29" s="81"/>
      <c r="C29" s="118"/>
      <c r="D29" s="81"/>
      <c r="E29" s="170" t="s">
        <v>38</v>
      </c>
      <c r="F29" s="171"/>
      <c r="G29" s="171"/>
      <c r="H29" s="115" t="s">
        <v>115</v>
      </c>
      <c r="I29" s="55"/>
    </row>
    <row r="30" spans="1:9" ht="13.5" thickBot="1" x14ac:dyDescent="0.25">
      <c r="A30" s="80"/>
      <c r="B30" s="81"/>
      <c r="C30" s="81"/>
      <c r="D30" s="81"/>
      <c r="E30" s="199" t="s">
        <v>39</v>
      </c>
      <c r="F30" s="200"/>
      <c r="G30" s="200"/>
      <c r="H30" s="116" t="s">
        <v>115</v>
      </c>
      <c r="I30" s="55"/>
    </row>
    <row r="31" spans="1:9" x14ac:dyDescent="0.2">
      <c r="A31" s="108" t="s">
        <v>104</v>
      </c>
      <c r="B31" t="str">
        <f>IF(NOT(ISBLANK(Projectomschrijving!$A$8)), Projectomschrijving!$A$8, "")</f>
        <v/>
      </c>
      <c r="C31" s="81"/>
      <c r="D31" s="81"/>
      <c r="E31" s="81"/>
      <c r="F31" s="81"/>
      <c r="G31" s="81"/>
      <c r="H31" s="117"/>
    </row>
    <row r="32" spans="1:9" x14ac:dyDescent="0.2">
      <c r="A32" s="1"/>
      <c r="B32" s="81"/>
      <c r="C32" s="81"/>
      <c r="D32" s="81"/>
      <c r="E32" s="81"/>
      <c r="F32" s="81"/>
      <c r="G32" s="81"/>
      <c r="H32" s="82"/>
    </row>
    <row r="33" spans="1:8" x14ac:dyDescent="0.2">
      <c r="A33" s="80" t="s">
        <v>106</v>
      </c>
      <c r="B33" s="150"/>
      <c r="C33" s="81"/>
      <c r="D33" s="81"/>
      <c r="E33" s="81"/>
      <c r="F33" s="81"/>
      <c r="G33" s="81"/>
      <c r="H33" s="82"/>
    </row>
    <row r="34" spans="1:8" x14ac:dyDescent="0.2">
      <c r="A34" s="80"/>
      <c r="B34" s="81"/>
      <c r="C34" s="81"/>
      <c r="D34" s="81"/>
      <c r="E34" s="81"/>
      <c r="F34" s="81"/>
      <c r="G34" s="81"/>
      <c r="H34" s="82"/>
    </row>
    <row r="35" spans="1:8" x14ac:dyDescent="0.2">
      <c r="A35" s="80" t="s">
        <v>105</v>
      </c>
      <c r="B35" s="81">
        <f>UItvoering!B40</f>
        <v>0</v>
      </c>
      <c r="C35" s="81"/>
      <c r="D35" s="81"/>
      <c r="E35" s="81"/>
      <c r="F35" s="81"/>
      <c r="G35" s="81"/>
      <c r="H35" s="82"/>
    </row>
    <row r="36" spans="1:8" x14ac:dyDescent="0.2">
      <c r="A36" s="80"/>
      <c r="B36" s="81"/>
      <c r="C36" s="81"/>
      <c r="D36" s="81"/>
      <c r="E36" s="81"/>
      <c r="F36" s="81"/>
      <c r="G36" s="81"/>
      <c r="H36" s="82"/>
    </row>
    <row r="37" spans="1:8" x14ac:dyDescent="0.2">
      <c r="A37" s="80" t="s">
        <v>107</v>
      </c>
      <c r="B37" s="81" t="s">
        <v>108</v>
      </c>
      <c r="C37" s="81" t="s">
        <v>122</v>
      </c>
      <c r="D37" s="81"/>
      <c r="E37" s="81"/>
      <c r="F37" s="81"/>
      <c r="G37" s="81"/>
      <c r="H37" s="82"/>
    </row>
    <row r="38" spans="1:8" x14ac:dyDescent="0.2">
      <c r="A38" s="80"/>
      <c r="B38" s="81" t="s">
        <v>109</v>
      </c>
      <c r="C38" s="81" t="s">
        <v>122</v>
      </c>
      <c r="D38" s="81"/>
      <c r="E38" s="81"/>
      <c r="F38" s="81"/>
      <c r="G38" s="81"/>
      <c r="H38" s="82"/>
    </row>
    <row r="39" spans="1:8" x14ac:dyDescent="0.2">
      <c r="A39" s="80"/>
      <c r="B39" s="81" t="s">
        <v>110</v>
      </c>
      <c r="C39" s="81" t="s">
        <v>122</v>
      </c>
      <c r="D39" s="81"/>
      <c r="E39" s="81"/>
      <c r="F39" s="81"/>
      <c r="G39" s="81"/>
      <c r="H39" s="82"/>
    </row>
    <row r="40" spans="1:8" x14ac:dyDescent="0.2">
      <c r="A40" s="80"/>
      <c r="B40" s="81" t="s">
        <v>111</v>
      </c>
      <c r="C40" s="81" t="s">
        <v>122</v>
      </c>
      <c r="D40" s="81"/>
      <c r="E40" s="81"/>
      <c r="F40" s="81"/>
      <c r="G40" s="81"/>
      <c r="H40" s="82"/>
    </row>
    <row r="41" spans="1:8" x14ac:dyDescent="0.2">
      <c r="A41" s="80"/>
      <c r="B41" s="81"/>
      <c r="C41" s="81"/>
      <c r="D41" s="81"/>
      <c r="E41" s="81"/>
      <c r="F41" s="81"/>
      <c r="G41" s="81"/>
      <c r="H41" s="82"/>
    </row>
    <row r="42" spans="1:8" x14ac:dyDescent="0.2">
      <c r="A42" s="80" t="s">
        <v>104</v>
      </c>
      <c r="B42" s="81"/>
      <c r="C42" s="81"/>
      <c r="D42" s="81"/>
      <c r="E42" s="81"/>
      <c r="F42" s="81"/>
      <c r="G42" s="81"/>
      <c r="H42" s="82"/>
    </row>
    <row r="43" spans="1:8" x14ac:dyDescent="0.2">
      <c r="A43" s="80"/>
      <c r="B43" s="81"/>
      <c r="C43" s="81"/>
      <c r="D43" s="81"/>
      <c r="E43" s="81"/>
      <c r="F43" s="81"/>
      <c r="G43" s="81"/>
      <c r="H43" s="82"/>
    </row>
    <row r="44" spans="1:8" x14ac:dyDescent="0.2">
      <c r="A44" s="80"/>
      <c r="B44" s="81"/>
      <c r="C44" s="81"/>
      <c r="D44" s="81"/>
      <c r="E44" s="81"/>
      <c r="F44" s="81"/>
      <c r="G44" s="81"/>
      <c r="H44" s="82"/>
    </row>
    <row r="45" spans="1:8" x14ac:dyDescent="0.2">
      <c r="A45" s="80"/>
      <c r="B45" s="81"/>
      <c r="C45" s="81"/>
      <c r="D45" s="81"/>
      <c r="E45" s="81"/>
      <c r="F45" s="81"/>
      <c r="G45" s="81"/>
      <c r="H45" s="82"/>
    </row>
    <row r="46" spans="1:8" x14ac:dyDescent="0.2">
      <c r="A46" s="80"/>
      <c r="B46" s="81"/>
      <c r="C46" s="81"/>
      <c r="D46" s="81"/>
      <c r="E46" s="81"/>
      <c r="F46" s="81"/>
      <c r="G46" s="81"/>
      <c r="H46" s="82"/>
    </row>
    <row r="47" spans="1:8" x14ac:dyDescent="0.2">
      <c r="A47" s="80"/>
      <c r="B47" s="81"/>
      <c r="C47" s="81"/>
      <c r="D47" s="81"/>
      <c r="E47" s="81"/>
      <c r="F47" s="81"/>
      <c r="G47" s="81"/>
      <c r="H47" s="82"/>
    </row>
    <row r="48" spans="1:8" x14ac:dyDescent="0.2">
      <c r="A48" s="80"/>
      <c r="B48" s="81"/>
      <c r="C48" s="81"/>
      <c r="D48" s="81"/>
      <c r="E48" s="81"/>
      <c r="F48" s="81"/>
      <c r="G48" s="81"/>
      <c r="H48" s="82"/>
    </row>
    <row r="49" spans="1:8" x14ac:dyDescent="0.2">
      <c r="A49" s="80"/>
      <c r="B49" s="81"/>
      <c r="C49" s="81"/>
      <c r="D49" s="81"/>
      <c r="E49" s="81"/>
      <c r="F49" s="81"/>
      <c r="G49" s="81"/>
      <c r="H49" s="82"/>
    </row>
    <row r="50" spans="1:8" x14ac:dyDescent="0.2">
      <c r="A50" s="80"/>
      <c r="B50" s="81"/>
      <c r="C50" s="81"/>
      <c r="D50" s="81"/>
      <c r="E50" s="81"/>
      <c r="F50" s="81"/>
      <c r="G50" s="81"/>
      <c r="H50" s="82"/>
    </row>
    <row r="51" spans="1:8" x14ac:dyDescent="0.2">
      <c r="A51" s="80"/>
      <c r="B51" s="81"/>
      <c r="C51" s="81"/>
      <c r="D51" s="81"/>
      <c r="E51" s="81"/>
      <c r="F51" s="81"/>
      <c r="G51" s="81"/>
      <c r="H51" s="82"/>
    </row>
    <row r="52" spans="1:8" x14ac:dyDescent="0.2">
      <c r="A52" s="80"/>
      <c r="B52" s="81" t="s">
        <v>40</v>
      </c>
      <c r="C52" s="81"/>
      <c r="D52" s="81"/>
      <c r="E52" s="81"/>
      <c r="F52" s="81" t="s">
        <v>41</v>
      </c>
      <c r="G52" s="81"/>
      <c r="H52" s="82"/>
    </row>
    <row r="53" spans="1:8" x14ac:dyDescent="0.2">
      <c r="A53" s="80"/>
      <c r="B53" s="81"/>
      <c r="C53" s="81"/>
      <c r="D53" s="81"/>
      <c r="E53" s="81"/>
      <c r="F53" s="81"/>
      <c r="G53" s="81"/>
      <c r="H53" s="82"/>
    </row>
    <row r="54" spans="1:8" x14ac:dyDescent="0.2">
      <c r="A54" s="80"/>
      <c r="B54" s="81"/>
      <c r="C54" s="81"/>
      <c r="D54" s="81"/>
      <c r="E54" s="81"/>
      <c r="F54" s="81"/>
      <c r="G54" s="81"/>
      <c r="H54" s="82"/>
    </row>
    <row r="55" spans="1:8" x14ac:dyDescent="0.2">
      <c r="A55" s="80"/>
      <c r="B55" s="81"/>
      <c r="C55" s="81"/>
      <c r="D55" s="81"/>
      <c r="E55" s="81"/>
      <c r="F55" s="81"/>
      <c r="G55" s="81"/>
      <c r="H55" s="82"/>
    </row>
    <row r="56" spans="1:8" x14ac:dyDescent="0.2">
      <c r="A56" s="80"/>
      <c r="B56" s="81"/>
      <c r="C56" s="81"/>
      <c r="D56" s="81"/>
      <c r="E56" s="81"/>
      <c r="F56" s="81"/>
      <c r="G56" s="81"/>
      <c r="H56" s="82"/>
    </row>
    <row r="57" spans="1:8" x14ac:dyDescent="0.2">
      <c r="A57" s="80"/>
      <c r="B57" s="81"/>
      <c r="C57" s="81"/>
      <c r="D57" s="81"/>
      <c r="E57" s="81"/>
      <c r="F57" s="81"/>
      <c r="G57" s="81"/>
      <c r="H57" s="82"/>
    </row>
    <row r="58" spans="1:8" x14ac:dyDescent="0.2">
      <c r="A58" s="80"/>
      <c r="B58" s="81"/>
      <c r="C58" s="81"/>
      <c r="D58" s="81"/>
      <c r="E58" s="81"/>
      <c r="F58" s="81"/>
      <c r="G58" s="81"/>
      <c r="H58" s="82"/>
    </row>
    <row r="59" spans="1:8" x14ac:dyDescent="0.2">
      <c r="A59" s="80"/>
      <c r="B59" s="81"/>
      <c r="C59" s="81"/>
      <c r="D59" s="81"/>
      <c r="E59" s="81"/>
      <c r="F59" s="81"/>
      <c r="G59" s="81"/>
      <c r="H59" s="82"/>
    </row>
    <row r="60" spans="1:8" x14ac:dyDescent="0.2">
      <c r="A60" s="80"/>
      <c r="B60" s="81"/>
      <c r="C60" s="81"/>
      <c r="D60" s="81"/>
      <c r="E60" s="81"/>
      <c r="F60" s="81"/>
      <c r="G60" s="81"/>
      <c r="H60" s="82"/>
    </row>
    <row r="61" spans="1:8" x14ac:dyDescent="0.2">
      <c r="A61" s="80"/>
      <c r="B61" s="81"/>
      <c r="C61" s="81"/>
      <c r="D61" s="81"/>
      <c r="E61" s="81"/>
      <c r="F61" s="81"/>
      <c r="G61" s="81"/>
      <c r="H61" s="82"/>
    </row>
    <row r="62" spans="1:8" x14ac:dyDescent="0.2">
      <c r="A62" s="80"/>
      <c r="B62" s="81"/>
      <c r="C62" s="81"/>
      <c r="D62" s="81"/>
      <c r="E62" s="81"/>
      <c r="F62" s="81"/>
      <c r="G62" s="81"/>
      <c r="H62" s="82"/>
    </row>
    <row r="63" spans="1:8" x14ac:dyDescent="0.2">
      <c r="A63" s="80"/>
      <c r="B63" s="81"/>
      <c r="C63" s="81"/>
      <c r="D63" s="81"/>
      <c r="E63" s="81"/>
      <c r="F63" s="81"/>
      <c r="G63" s="81"/>
      <c r="H63" s="82"/>
    </row>
    <row r="64" spans="1:8" x14ac:dyDescent="0.2">
      <c r="A64" s="80"/>
      <c r="B64" s="81"/>
      <c r="C64" s="81"/>
      <c r="D64" s="81"/>
      <c r="E64" s="81"/>
      <c r="F64" s="81"/>
      <c r="G64" s="81"/>
      <c r="H64" s="82"/>
    </row>
    <row r="65" spans="1:8" ht="13.5" thickBot="1" x14ac:dyDescent="0.25">
      <c r="A65" s="91"/>
      <c r="B65" s="83"/>
      <c r="C65" s="83"/>
      <c r="D65" s="83"/>
      <c r="E65" s="83"/>
      <c r="F65" s="83"/>
      <c r="G65" s="83"/>
      <c r="H65" s="84"/>
    </row>
    <row r="66" spans="1:8" ht="13.5" thickBot="1" x14ac:dyDescent="0.25">
      <c r="A66" s="53"/>
      <c r="B66" s="54"/>
      <c r="C66" s="54"/>
      <c r="D66" s="54"/>
      <c r="E66" s="54"/>
      <c r="F66" s="77"/>
      <c r="G66" s="77"/>
      <c r="H66" s="76"/>
    </row>
    <row r="67" spans="1:8" x14ac:dyDescent="0.2">
      <c r="A67" s="71" t="s">
        <v>42</v>
      </c>
      <c r="B67" s="78"/>
      <c r="C67" s="78"/>
      <c r="D67" s="78"/>
      <c r="E67" s="78"/>
      <c r="F67" s="198" t="str">
        <f>$B$14</f>
        <v/>
      </c>
      <c r="G67" s="198"/>
      <c r="H67" s="72"/>
    </row>
    <row r="68" spans="1:8" x14ac:dyDescent="0.2">
      <c r="A68" s="85"/>
      <c r="B68" s="86"/>
      <c r="C68" s="86"/>
      <c r="D68" s="86"/>
      <c r="E68" s="86"/>
      <c r="F68" s="81"/>
      <c r="G68" s="81"/>
      <c r="H68" s="87"/>
    </row>
    <row r="69" spans="1:8" x14ac:dyDescent="0.2">
      <c r="A69" s="80"/>
      <c r="B69" s="81"/>
      <c r="C69" s="81"/>
      <c r="D69" s="81"/>
      <c r="E69" s="81"/>
      <c r="F69" s="81"/>
      <c r="G69" s="81"/>
      <c r="H69" s="82"/>
    </row>
    <row r="70" spans="1:8" x14ac:dyDescent="0.2">
      <c r="A70" s="80"/>
      <c r="B70" s="81"/>
      <c r="C70" s="81"/>
      <c r="D70" s="81"/>
      <c r="E70" s="81"/>
      <c r="F70" s="81"/>
      <c r="G70" s="81"/>
      <c r="H70" s="82"/>
    </row>
    <row r="71" spans="1:8" x14ac:dyDescent="0.2">
      <c r="A71" s="80"/>
      <c r="B71" s="81"/>
      <c r="C71" s="81"/>
      <c r="D71" s="81"/>
      <c r="E71" s="81"/>
      <c r="F71" s="81"/>
      <c r="G71" s="81"/>
      <c r="H71" s="82"/>
    </row>
    <row r="72" spans="1:8" x14ac:dyDescent="0.2">
      <c r="A72" s="80"/>
      <c r="B72" s="81"/>
      <c r="C72" s="81"/>
      <c r="D72" s="81"/>
      <c r="E72" s="81"/>
      <c r="F72" s="81"/>
      <c r="G72" s="81"/>
      <c r="H72" s="82"/>
    </row>
    <row r="73" spans="1:8" x14ac:dyDescent="0.2">
      <c r="A73" s="80"/>
      <c r="B73" s="81"/>
      <c r="C73" s="81"/>
      <c r="D73" s="81"/>
      <c r="E73" s="81"/>
      <c r="F73" s="81"/>
      <c r="G73" s="81"/>
      <c r="H73" s="82"/>
    </row>
    <row r="74" spans="1:8" x14ac:dyDescent="0.2">
      <c r="A74" s="80"/>
      <c r="B74" s="81"/>
      <c r="C74" s="81"/>
      <c r="D74" s="81"/>
      <c r="E74" s="81"/>
      <c r="F74" s="81"/>
      <c r="G74" s="81"/>
      <c r="H74" s="82"/>
    </row>
    <row r="75" spans="1:8" x14ac:dyDescent="0.2">
      <c r="A75" s="80"/>
      <c r="B75" s="81"/>
      <c r="C75" s="81"/>
      <c r="D75" s="81"/>
      <c r="E75" s="81"/>
      <c r="F75" s="81"/>
      <c r="G75" s="81"/>
      <c r="H75" s="82"/>
    </row>
    <row r="76" spans="1:8" x14ac:dyDescent="0.2">
      <c r="A76" s="80"/>
      <c r="B76" s="81"/>
      <c r="C76" s="81"/>
      <c r="D76" s="81"/>
      <c r="E76" s="81"/>
      <c r="F76" s="81"/>
      <c r="G76" s="81"/>
      <c r="H76" s="82"/>
    </row>
    <row r="77" spans="1:8" x14ac:dyDescent="0.2">
      <c r="A77" s="80"/>
      <c r="B77" s="81"/>
      <c r="C77" s="81"/>
      <c r="D77" s="81"/>
      <c r="E77" s="81"/>
      <c r="F77" s="81"/>
      <c r="G77" s="81"/>
      <c r="H77" s="82"/>
    </row>
    <row r="78" spans="1:8" x14ac:dyDescent="0.2">
      <c r="A78" s="80"/>
      <c r="B78" s="81"/>
      <c r="C78" s="81"/>
      <c r="D78" s="81"/>
      <c r="E78" s="81"/>
      <c r="F78" s="81"/>
      <c r="G78" s="81"/>
      <c r="H78" s="82"/>
    </row>
    <row r="79" spans="1:8" x14ac:dyDescent="0.2">
      <c r="A79" s="80"/>
      <c r="B79" s="81"/>
      <c r="C79" s="81"/>
      <c r="D79" s="81"/>
      <c r="E79" s="81"/>
      <c r="F79" s="81"/>
      <c r="G79" s="81"/>
      <c r="H79" s="82"/>
    </row>
    <row r="80" spans="1:8" x14ac:dyDescent="0.2">
      <c r="A80" s="80"/>
      <c r="B80" s="81"/>
      <c r="C80" s="81"/>
      <c r="D80" s="81"/>
      <c r="E80" s="81"/>
      <c r="F80" s="81"/>
      <c r="G80" s="81"/>
      <c r="H80" s="82"/>
    </row>
    <row r="81" spans="1:8" x14ac:dyDescent="0.2">
      <c r="A81" s="80"/>
      <c r="B81" s="81"/>
      <c r="C81" s="81"/>
      <c r="D81" s="81"/>
      <c r="E81" s="81"/>
      <c r="F81" s="81"/>
      <c r="G81" s="81"/>
      <c r="H81" s="82"/>
    </row>
    <row r="82" spans="1:8" x14ac:dyDescent="0.2">
      <c r="A82" s="80"/>
      <c r="B82" s="81"/>
      <c r="C82" s="81"/>
      <c r="D82" s="81"/>
      <c r="E82" s="81"/>
      <c r="F82" s="81"/>
      <c r="G82" s="81"/>
      <c r="H82" s="82"/>
    </row>
    <row r="83" spans="1:8" x14ac:dyDescent="0.2">
      <c r="A83" s="80"/>
      <c r="B83" s="81"/>
      <c r="C83" s="81"/>
      <c r="D83" s="81"/>
      <c r="E83" s="81"/>
      <c r="F83" s="81"/>
      <c r="G83" s="81"/>
      <c r="H83" s="82"/>
    </row>
    <row r="84" spans="1:8" x14ac:dyDescent="0.2">
      <c r="A84" s="80"/>
      <c r="B84" s="81"/>
      <c r="C84" s="81"/>
      <c r="D84" s="81"/>
      <c r="E84" s="81"/>
      <c r="F84" s="81"/>
      <c r="G84" s="81"/>
      <c r="H84" s="82"/>
    </row>
    <row r="85" spans="1:8" x14ac:dyDescent="0.2">
      <c r="A85" s="80"/>
      <c r="B85" s="81"/>
      <c r="C85" s="81"/>
      <c r="D85" s="81"/>
      <c r="E85" s="81"/>
      <c r="F85" s="81"/>
      <c r="G85" s="81"/>
      <c r="H85" s="82"/>
    </row>
    <row r="86" spans="1:8" x14ac:dyDescent="0.2">
      <c r="A86" s="80"/>
      <c r="B86" s="81"/>
      <c r="C86" s="81"/>
      <c r="D86" s="81"/>
      <c r="E86" s="81"/>
      <c r="F86" s="81"/>
      <c r="G86" s="81"/>
      <c r="H86" s="82"/>
    </row>
    <row r="87" spans="1:8" x14ac:dyDescent="0.2">
      <c r="A87" s="80"/>
      <c r="B87" s="81"/>
      <c r="C87" s="81"/>
      <c r="D87" s="81"/>
      <c r="E87" s="81"/>
      <c r="F87" s="81"/>
      <c r="G87" s="81"/>
      <c r="H87" s="82"/>
    </row>
    <row r="88" spans="1:8" x14ac:dyDescent="0.2">
      <c r="A88" s="80"/>
      <c r="B88" s="81"/>
      <c r="C88" s="81"/>
      <c r="D88" s="81"/>
      <c r="E88" s="81"/>
      <c r="F88" s="81"/>
      <c r="G88" s="81"/>
      <c r="H88" s="82"/>
    </row>
    <row r="89" spans="1:8" x14ac:dyDescent="0.2">
      <c r="A89" s="80"/>
      <c r="B89" s="81"/>
      <c r="C89" s="81"/>
      <c r="D89" s="81"/>
      <c r="E89" s="81"/>
      <c r="F89" s="81"/>
      <c r="G89" s="81"/>
      <c r="H89" s="82"/>
    </row>
    <row r="90" spans="1:8" x14ac:dyDescent="0.2">
      <c r="A90" s="80"/>
      <c r="B90" s="81"/>
      <c r="C90" s="81"/>
      <c r="D90" s="81"/>
      <c r="E90" s="81"/>
      <c r="F90" s="81"/>
      <c r="G90" s="81"/>
      <c r="H90" s="82"/>
    </row>
    <row r="91" spans="1:8" x14ac:dyDescent="0.2">
      <c r="A91" s="80"/>
      <c r="B91" s="81"/>
      <c r="C91" s="81"/>
      <c r="D91" s="81"/>
      <c r="E91" s="81"/>
      <c r="F91" s="81"/>
      <c r="G91" s="81"/>
      <c r="H91" s="82"/>
    </row>
    <row r="92" spans="1:8" x14ac:dyDescent="0.2">
      <c r="A92" s="88"/>
      <c r="B92" s="89"/>
      <c r="C92" s="89"/>
      <c r="D92" s="89"/>
      <c r="E92" s="89"/>
      <c r="F92" s="89"/>
      <c r="G92" s="89"/>
      <c r="H92" s="90"/>
    </row>
    <row r="93" spans="1:8" x14ac:dyDescent="0.2">
      <c r="A93" s="73" t="s">
        <v>43</v>
      </c>
      <c r="B93" s="79"/>
      <c r="C93" s="79"/>
      <c r="D93" s="79"/>
      <c r="E93" s="79"/>
      <c r="F93" s="79"/>
      <c r="G93" s="79"/>
      <c r="H93" s="74"/>
    </row>
    <row r="94" spans="1:8" x14ac:dyDescent="0.2">
      <c r="A94" s="85"/>
      <c r="B94" s="86"/>
      <c r="C94" s="86"/>
      <c r="D94" s="86"/>
      <c r="E94" s="86"/>
      <c r="F94" s="86"/>
      <c r="G94" s="86"/>
      <c r="H94" s="87"/>
    </row>
    <row r="95" spans="1:8" x14ac:dyDescent="0.2">
      <c r="A95" s="80"/>
      <c r="B95" s="81"/>
      <c r="C95" s="81"/>
      <c r="D95" s="81"/>
      <c r="E95" s="81"/>
      <c r="F95" s="81"/>
      <c r="G95" s="81"/>
      <c r="H95" s="82"/>
    </row>
    <row r="96" spans="1:8" x14ac:dyDescent="0.2">
      <c r="A96" s="80"/>
      <c r="B96" s="81"/>
      <c r="C96" s="81"/>
      <c r="D96" s="81"/>
      <c r="E96" s="81"/>
      <c r="F96" s="81"/>
      <c r="G96" s="81"/>
      <c r="H96" s="82"/>
    </row>
    <row r="97" spans="1:8" x14ac:dyDescent="0.2">
      <c r="A97" s="80"/>
      <c r="B97" s="81"/>
      <c r="C97" s="81"/>
      <c r="D97" s="81"/>
      <c r="E97" s="81"/>
      <c r="F97" s="81"/>
      <c r="G97" s="81"/>
      <c r="H97" s="82"/>
    </row>
    <row r="98" spans="1:8" x14ac:dyDescent="0.2">
      <c r="A98" s="80"/>
      <c r="B98" s="81"/>
      <c r="C98" s="81"/>
      <c r="D98" s="81"/>
      <c r="E98" s="81"/>
      <c r="F98" s="81"/>
      <c r="G98" s="81"/>
      <c r="H98" s="82"/>
    </row>
    <row r="99" spans="1:8" x14ac:dyDescent="0.2">
      <c r="A99" s="80"/>
      <c r="B99" s="81"/>
      <c r="C99" s="81"/>
      <c r="D99" s="81"/>
      <c r="E99" s="81"/>
      <c r="F99" s="81"/>
      <c r="G99" s="81"/>
      <c r="H99" s="82"/>
    </row>
    <row r="100" spans="1:8" x14ac:dyDescent="0.2">
      <c r="A100" s="80"/>
      <c r="B100" s="81"/>
      <c r="C100" s="81"/>
      <c r="D100" s="81"/>
      <c r="E100" s="81"/>
      <c r="F100" s="81"/>
      <c r="G100" s="81"/>
      <c r="H100" s="82"/>
    </row>
    <row r="101" spans="1:8" x14ac:dyDescent="0.2">
      <c r="A101" s="80"/>
      <c r="B101" s="81"/>
      <c r="C101" s="81"/>
      <c r="D101" s="81"/>
      <c r="E101" s="81"/>
      <c r="F101" s="81"/>
      <c r="G101" s="81"/>
      <c r="H101" s="82"/>
    </row>
    <row r="102" spans="1:8" x14ac:dyDescent="0.2">
      <c r="A102" s="80"/>
      <c r="B102" s="81"/>
      <c r="C102" s="81"/>
      <c r="D102" s="81"/>
      <c r="E102" s="81"/>
      <c r="F102" s="81"/>
      <c r="G102" s="81"/>
      <c r="H102" s="82"/>
    </row>
    <row r="103" spans="1:8" x14ac:dyDescent="0.2">
      <c r="A103" s="80"/>
      <c r="B103" s="81"/>
      <c r="C103" s="81"/>
      <c r="D103" s="81"/>
      <c r="E103" s="81"/>
      <c r="F103" s="81"/>
      <c r="G103" s="81"/>
      <c r="H103" s="82"/>
    </row>
    <row r="104" spans="1:8" x14ac:dyDescent="0.2">
      <c r="A104" s="80"/>
      <c r="B104" s="81"/>
      <c r="C104" s="81"/>
      <c r="D104" s="81"/>
      <c r="E104" s="81"/>
      <c r="F104" s="81"/>
      <c r="G104" s="81"/>
      <c r="H104" s="82"/>
    </row>
    <row r="105" spans="1:8" x14ac:dyDescent="0.2">
      <c r="A105" s="80"/>
      <c r="B105" s="81"/>
      <c r="C105" s="81"/>
      <c r="D105" s="81"/>
      <c r="E105" s="81"/>
      <c r="F105" s="81"/>
      <c r="G105" s="81"/>
      <c r="H105" s="82"/>
    </row>
    <row r="106" spans="1:8" x14ac:dyDescent="0.2">
      <c r="A106" s="80"/>
      <c r="B106" s="81"/>
      <c r="C106" s="81"/>
      <c r="D106" s="81"/>
      <c r="E106" s="81"/>
      <c r="F106" s="81"/>
      <c r="G106" s="81"/>
      <c r="H106" s="82"/>
    </row>
    <row r="107" spans="1:8" x14ac:dyDescent="0.2">
      <c r="A107" s="80"/>
      <c r="B107" s="81"/>
      <c r="C107" s="81"/>
      <c r="D107" s="81"/>
      <c r="E107" s="81"/>
      <c r="F107" s="81"/>
      <c r="G107" s="81"/>
      <c r="H107" s="82"/>
    </row>
    <row r="108" spans="1:8" x14ac:dyDescent="0.2">
      <c r="A108" s="80"/>
      <c r="B108" s="81"/>
      <c r="C108" s="81"/>
      <c r="D108" s="81"/>
      <c r="E108" s="81"/>
      <c r="F108" s="81"/>
      <c r="G108" s="81"/>
      <c r="H108" s="82"/>
    </row>
    <row r="109" spans="1:8" x14ac:dyDescent="0.2">
      <c r="A109" s="80"/>
      <c r="B109" s="81"/>
      <c r="C109" s="81"/>
      <c r="D109" s="81"/>
      <c r="E109" s="81"/>
      <c r="F109" s="81"/>
      <c r="G109" s="81"/>
      <c r="H109" s="82"/>
    </row>
    <row r="110" spans="1:8" x14ac:dyDescent="0.2">
      <c r="A110" s="80"/>
      <c r="B110" s="81"/>
      <c r="C110" s="81"/>
      <c r="D110" s="81"/>
      <c r="E110" s="81"/>
      <c r="F110" s="81"/>
      <c r="G110" s="81"/>
      <c r="H110" s="82"/>
    </row>
    <row r="111" spans="1:8" x14ac:dyDescent="0.2">
      <c r="A111" s="80"/>
      <c r="B111" s="81"/>
      <c r="C111" s="81"/>
      <c r="D111" s="81"/>
      <c r="E111" s="81"/>
      <c r="F111" s="81"/>
      <c r="G111" s="81"/>
      <c r="H111" s="82"/>
    </row>
    <row r="112" spans="1:8" x14ac:dyDescent="0.2">
      <c r="A112" s="80"/>
      <c r="B112" s="81"/>
      <c r="C112" s="81"/>
      <c r="D112" s="81"/>
      <c r="E112" s="81"/>
      <c r="F112" s="81"/>
      <c r="G112" s="81"/>
      <c r="H112" s="82"/>
    </row>
    <row r="113" spans="1:8" x14ac:dyDescent="0.2">
      <c r="A113" s="80"/>
      <c r="B113" s="81"/>
      <c r="C113" s="81"/>
      <c r="D113" s="81"/>
      <c r="E113" s="81"/>
      <c r="F113" s="81"/>
      <c r="G113" s="81"/>
      <c r="H113" s="82"/>
    </row>
    <row r="114" spans="1:8" x14ac:dyDescent="0.2">
      <c r="A114" s="80"/>
      <c r="B114" s="81"/>
      <c r="C114" s="81"/>
      <c r="D114" s="81"/>
      <c r="E114" s="81"/>
      <c r="F114" s="81"/>
      <c r="G114" s="81"/>
      <c r="H114" s="82"/>
    </row>
    <row r="115" spans="1:8" x14ac:dyDescent="0.2">
      <c r="A115" s="80"/>
      <c r="B115" s="81"/>
      <c r="C115" s="81"/>
      <c r="D115" s="81"/>
      <c r="E115" s="81"/>
      <c r="F115" s="81"/>
      <c r="G115" s="81"/>
      <c r="H115" s="82"/>
    </row>
    <row r="116" spans="1:8" x14ac:dyDescent="0.2">
      <c r="A116" s="80"/>
      <c r="B116" s="81"/>
      <c r="C116" s="81"/>
      <c r="D116" s="81"/>
      <c r="E116" s="81"/>
      <c r="F116" s="81"/>
      <c r="G116" s="81"/>
      <c r="H116" s="82"/>
    </row>
    <row r="117" spans="1:8" x14ac:dyDescent="0.2">
      <c r="A117" s="80"/>
      <c r="B117" s="81"/>
      <c r="C117" s="81"/>
      <c r="D117" s="81"/>
      <c r="E117" s="81"/>
      <c r="F117" s="81"/>
      <c r="G117" s="81"/>
      <c r="H117" s="82"/>
    </row>
    <row r="118" spans="1:8" x14ac:dyDescent="0.2">
      <c r="A118" s="88"/>
      <c r="B118" s="89"/>
      <c r="C118" s="89"/>
      <c r="D118" s="89"/>
      <c r="E118" s="89"/>
      <c r="F118" s="89"/>
      <c r="G118" s="89"/>
      <c r="H118" s="90"/>
    </row>
    <row r="119" spans="1:8" x14ac:dyDescent="0.2">
      <c r="A119" s="73" t="s">
        <v>44</v>
      </c>
      <c r="B119" s="79"/>
      <c r="C119" s="79"/>
      <c r="D119" s="79"/>
      <c r="E119" s="79"/>
      <c r="F119" s="79"/>
      <c r="G119" s="79"/>
      <c r="H119" s="74"/>
    </row>
    <row r="120" spans="1:8" x14ac:dyDescent="0.2">
      <c r="A120" s="85"/>
      <c r="B120" s="86"/>
      <c r="C120" s="86"/>
      <c r="D120" s="86"/>
      <c r="E120" s="86"/>
      <c r="F120" s="86"/>
      <c r="G120" s="86"/>
      <c r="H120" s="87"/>
    </row>
    <row r="121" spans="1:8" x14ac:dyDescent="0.2">
      <c r="A121" s="80"/>
      <c r="B121" s="81"/>
      <c r="C121" s="81"/>
      <c r="D121" s="81"/>
      <c r="E121" s="81"/>
      <c r="F121" s="81"/>
      <c r="G121" s="81"/>
      <c r="H121" s="82"/>
    </row>
    <row r="122" spans="1:8" x14ac:dyDescent="0.2">
      <c r="A122" s="80"/>
      <c r="B122" s="81"/>
      <c r="C122" s="81"/>
      <c r="D122" s="81"/>
      <c r="E122" s="81"/>
      <c r="F122" s="81"/>
      <c r="G122" s="81"/>
      <c r="H122" s="82"/>
    </row>
    <row r="123" spans="1:8" x14ac:dyDescent="0.2">
      <c r="A123" s="80"/>
      <c r="B123" s="81"/>
      <c r="C123" s="81"/>
      <c r="D123" s="81"/>
      <c r="E123" s="81"/>
      <c r="F123" s="81"/>
      <c r="G123" s="81"/>
      <c r="H123" s="82"/>
    </row>
    <row r="124" spans="1:8" x14ac:dyDescent="0.2">
      <c r="A124" s="80"/>
      <c r="B124" s="81"/>
      <c r="C124" s="81"/>
      <c r="D124" s="81"/>
      <c r="E124" s="81"/>
      <c r="F124" s="81"/>
      <c r="G124" s="81"/>
      <c r="H124" s="82"/>
    </row>
    <row r="125" spans="1:8" x14ac:dyDescent="0.2">
      <c r="A125" s="80"/>
      <c r="B125" s="81"/>
      <c r="C125" s="81"/>
      <c r="D125" s="81"/>
      <c r="E125" s="81"/>
      <c r="F125" s="81"/>
      <c r="G125" s="81"/>
      <c r="H125" s="82"/>
    </row>
    <row r="126" spans="1:8" x14ac:dyDescent="0.2">
      <c r="A126" s="80"/>
      <c r="B126" s="81"/>
      <c r="C126" s="81"/>
      <c r="D126" s="81"/>
      <c r="E126" s="81"/>
      <c r="F126" s="81"/>
      <c r="G126" s="81"/>
      <c r="H126" s="82"/>
    </row>
    <row r="127" spans="1:8" x14ac:dyDescent="0.2">
      <c r="A127" s="80"/>
      <c r="B127" s="81"/>
      <c r="C127" s="81"/>
      <c r="D127" s="81"/>
      <c r="E127" s="81"/>
      <c r="F127" s="81"/>
      <c r="G127" s="81"/>
      <c r="H127" s="82"/>
    </row>
    <row r="128" spans="1:8" x14ac:dyDescent="0.2">
      <c r="A128" s="80"/>
      <c r="B128" s="81"/>
      <c r="C128" s="81"/>
      <c r="D128" s="81"/>
      <c r="E128" s="81"/>
      <c r="F128" s="81"/>
      <c r="G128" s="81"/>
      <c r="H128" s="82"/>
    </row>
    <row r="129" spans="1:8" x14ac:dyDescent="0.2">
      <c r="A129" s="80"/>
      <c r="B129" s="81"/>
      <c r="C129" s="81"/>
      <c r="D129" s="81"/>
      <c r="E129" s="81"/>
      <c r="F129" s="81"/>
      <c r="G129" s="81"/>
      <c r="H129" s="82"/>
    </row>
    <row r="130" spans="1:8" x14ac:dyDescent="0.2">
      <c r="A130" s="88"/>
      <c r="B130" s="89"/>
      <c r="C130" s="89"/>
      <c r="D130" s="89"/>
      <c r="E130" s="89"/>
      <c r="F130" s="89"/>
      <c r="G130" s="89"/>
      <c r="H130" s="90"/>
    </row>
    <row r="131" spans="1:8" ht="13.5" thickBot="1" x14ac:dyDescent="0.25">
      <c r="A131" s="70"/>
      <c r="B131" s="63"/>
      <c r="C131" s="63"/>
      <c r="D131" s="63"/>
      <c r="E131" s="63"/>
      <c r="F131" s="63"/>
      <c r="G131" s="63"/>
      <c r="H131" s="64"/>
    </row>
    <row r="132" spans="1:8" ht="13.5" thickBot="1" x14ac:dyDescent="0.25">
      <c r="A132" s="75"/>
      <c r="B132" s="77"/>
      <c r="C132" s="77"/>
      <c r="D132" s="77"/>
      <c r="E132" s="77"/>
      <c r="F132" s="77"/>
      <c r="G132" s="77"/>
      <c r="H132" s="76"/>
    </row>
    <row r="133" spans="1:8" x14ac:dyDescent="0.2">
      <c r="A133" s="71" t="s">
        <v>45</v>
      </c>
      <c r="B133" s="78"/>
      <c r="C133" s="78"/>
      <c r="D133" s="78"/>
      <c r="E133" s="78"/>
      <c r="F133" s="198" t="str">
        <f>$B$14</f>
        <v/>
      </c>
      <c r="G133" s="198"/>
      <c r="H133" s="72"/>
    </row>
    <row r="134" spans="1:8" x14ac:dyDescent="0.2">
      <c r="A134" s="85"/>
      <c r="B134" s="86" t="str">
        <f>CONCATENATE("KLIC-melding van d.d. ",TEXT(C25,"dd-mm-jjjj"))</f>
        <v>KLIC-melding van d.d. Ja</v>
      </c>
      <c r="C134" s="86"/>
      <c r="D134" s="86"/>
      <c r="E134" s="86"/>
      <c r="F134" s="81"/>
      <c r="G134" s="81"/>
      <c r="H134" s="87"/>
    </row>
    <row r="135" spans="1:8" x14ac:dyDescent="0.2">
      <c r="A135" s="80"/>
      <c r="B135" s="81"/>
      <c r="C135" s="81"/>
      <c r="D135" s="81"/>
      <c r="E135" s="81"/>
      <c r="F135" s="81"/>
      <c r="G135" s="81"/>
      <c r="H135" s="82"/>
    </row>
    <row r="136" spans="1:8" x14ac:dyDescent="0.2">
      <c r="A136" s="80"/>
      <c r="B136" s="81"/>
      <c r="C136" s="81"/>
      <c r="D136" s="81"/>
      <c r="E136" s="81"/>
      <c r="F136" s="81"/>
      <c r="G136" s="81"/>
      <c r="H136" s="82"/>
    </row>
    <row r="137" spans="1:8" x14ac:dyDescent="0.2">
      <c r="A137" s="80"/>
      <c r="B137" s="81"/>
      <c r="C137" s="81"/>
      <c r="D137" s="81"/>
      <c r="E137" s="81"/>
      <c r="F137" s="81"/>
      <c r="G137" s="81"/>
      <c r="H137" s="82"/>
    </row>
    <row r="138" spans="1:8" x14ac:dyDescent="0.2">
      <c r="A138" s="80"/>
      <c r="B138" s="81"/>
      <c r="C138" s="81"/>
      <c r="D138" s="81"/>
      <c r="E138" s="81"/>
      <c r="F138" s="81"/>
      <c r="G138" s="81"/>
      <c r="H138" s="82"/>
    </row>
    <row r="139" spans="1:8" x14ac:dyDescent="0.2">
      <c r="A139" s="80"/>
      <c r="B139" s="81"/>
      <c r="C139" s="81"/>
      <c r="D139" s="81"/>
      <c r="E139" s="81"/>
      <c r="F139" s="81"/>
      <c r="G139" s="81"/>
      <c r="H139" s="82"/>
    </row>
    <row r="140" spans="1:8" x14ac:dyDescent="0.2">
      <c r="A140" s="80"/>
      <c r="B140" s="81"/>
      <c r="C140" s="81"/>
      <c r="D140" s="81"/>
      <c r="E140" s="81"/>
      <c r="F140" s="81"/>
      <c r="G140" s="81"/>
      <c r="H140" s="82"/>
    </row>
    <row r="141" spans="1:8" x14ac:dyDescent="0.2">
      <c r="A141" s="80"/>
      <c r="B141" s="81"/>
      <c r="C141" s="81"/>
      <c r="D141" s="81"/>
      <c r="E141" s="81"/>
      <c r="F141" s="81"/>
      <c r="G141" s="81"/>
      <c r="H141" s="82"/>
    </row>
    <row r="142" spans="1:8" x14ac:dyDescent="0.2">
      <c r="A142" s="80"/>
      <c r="B142" s="81"/>
      <c r="C142" s="81"/>
      <c r="D142" s="81"/>
      <c r="E142" s="81"/>
      <c r="F142" s="81"/>
      <c r="G142" s="81"/>
      <c r="H142" s="82"/>
    </row>
    <row r="143" spans="1:8" x14ac:dyDescent="0.2">
      <c r="A143" s="80"/>
      <c r="B143" s="81"/>
      <c r="C143" s="81"/>
      <c r="D143" s="81"/>
      <c r="E143" s="81"/>
      <c r="F143" s="81"/>
      <c r="G143" s="81"/>
      <c r="H143" s="82"/>
    </row>
    <row r="144" spans="1:8" x14ac:dyDescent="0.2">
      <c r="A144" s="80"/>
      <c r="B144" s="81"/>
      <c r="C144" s="81"/>
      <c r="D144" s="81"/>
      <c r="E144" s="81"/>
      <c r="F144" s="81"/>
      <c r="G144" s="81"/>
      <c r="H144" s="82"/>
    </row>
    <row r="145" spans="1:8" x14ac:dyDescent="0.2">
      <c r="A145" s="80"/>
      <c r="B145" s="81"/>
      <c r="C145" s="81"/>
      <c r="D145" s="81"/>
      <c r="E145" s="81"/>
      <c r="F145" s="81"/>
      <c r="G145" s="81"/>
      <c r="H145" s="82"/>
    </row>
    <row r="146" spans="1:8" x14ac:dyDescent="0.2">
      <c r="A146" s="80"/>
      <c r="B146" s="81"/>
      <c r="C146" s="81"/>
      <c r="D146" s="81"/>
      <c r="E146" s="81"/>
      <c r="F146" s="81"/>
      <c r="G146" s="81"/>
      <c r="H146" s="82"/>
    </row>
    <row r="147" spans="1:8" x14ac:dyDescent="0.2">
      <c r="A147" s="80"/>
      <c r="B147" s="81"/>
      <c r="C147" s="81"/>
      <c r="D147" s="81"/>
      <c r="E147" s="81"/>
      <c r="F147" s="81"/>
      <c r="G147" s="81"/>
      <c r="H147" s="82"/>
    </row>
    <row r="148" spans="1:8" x14ac:dyDescent="0.2">
      <c r="A148" s="80"/>
      <c r="B148" s="81"/>
      <c r="C148" s="81"/>
      <c r="D148" s="81"/>
      <c r="E148" s="81"/>
      <c r="F148" s="81"/>
      <c r="G148" s="81"/>
      <c r="H148" s="82"/>
    </row>
    <row r="149" spans="1:8" x14ac:dyDescent="0.2">
      <c r="A149" s="80"/>
      <c r="B149" s="81"/>
      <c r="C149" s="81"/>
      <c r="D149" s="81"/>
      <c r="E149" s="81"/>
      <c r="F149" s="81"/>
      <c r="G149" s="81"/>
      <c r="H149" s="82"/>
    </row>
    <row r="150" spans="1:8" x14ac:dyDescent="0.2">
      <c r="A150" s="80"/>
      <c r="B150" s="81"/>
      <c r="C150" s="81"/>
      <c r="D150" s="81"/>
      <c r="E150" s="81"/>
      <c r="F150" s="81"/>
      <c r="G150" s="81"/>
      <c r="H150" s="82"/>
    </row>
    <row r="151" spans="1:8" x14ac:dyDescent="0.2">
      <c r="A151" s="80"/>
      <c r="B151" s="81"/>
      <c r="C151" s="81"/>
      <c r="D151" s="81"/>
      <c r="E151" s="81"/>
      <c r="F151" s="81"/>
      <c r="G151" s="81"/>
      <c r="H151" s="82"/>
    </row>
    <row r="152" spans="1:8" x14ac:dyDescent="0.2">
      <c r="A152" s="80"/>
      <c r="B152" s="81"/>
      <c r="C152" s="81"/>
      <c r="D152" s="81"/>
      <c r="E152" s="81"/>
      <c r="F152" s="81"/>
      <c r="G152" s="81"/>
      <c r="H152" s="82"/>
    </row>
    <row r="153" spans="1:8" x14ac:dyDescent="0.2">
      <c r="A153" s="80"/>
      <c r="B153" s="81"/>
      <c r="C153" s="81"/>
      <c r="D153" s="81"/>
      <c r="E153" s="81"/>
      <c r="F153" s="81"/>
      <c r="G153" s="81"/>
      <c r="H153" s="82"/>
    </row>
    <row r="154" spans="1:8" x14ac:dyDescent="0.2">
      <c r="A154" s="80"/>
      <c r="B154" s="81"/>
      <c r="C154" s="81"/>
      <c r="D154" s="81"/>
      <c r="E154" s="81"/>
      <c r="F154" s="81"/>
      <c r="G154" s="81"/>
      <c r="H154" s="82"/>
    </row>
    <row r="155" spans="1:8" x14ac:dyDescent="0.2">
      <c r="A155" s="80"/>
      <c r="B155" s="81"/>
      <c r="C155" s="81"/>
      <c r="D155" s="81"/>
      <c r="E155" s="81"/>
      <c r="F155" s="81"/>
      <c r="G155" s="81"/>
      <c r="H155" s="82"/>
    </row>
    <row r="156" spans="1:8" x14ac:dyDescent="0.2">
      <c r="A156" s="80"/>
      <c r="B156" s="81"/>
      <c r="C156" s="81"/>
      <c r="D156" s="81"/>
      <c r="E156" s="81"/>
      <c r="F156" s="81"/>
      <c r="G156" s="81"/>
      <c r="H156" s="82"/>
    </row>
    <row r="157" spans="1:8" x14ac:dyDescent="0.2">
      <c r="A157" s="80"/>
      <c r="B157" s="81"/>
      <c r="C157" s="81"/>
      <c r="D157" s="81"/>
      <c r="E157" s="81"/>
      <c r="F157" s="81"/>
      <c r="G157" s="81"/>
      <c r="H157" s="82"/>
    </row>
    <row r="158" spans="1:8" x14ac:dyDescent="0.2">
      <c r="A158" s="80"/>
      <c r="B158" s="81"/>
      <c r="C158" s="81"/>
      <c r="D158" s="81"/>
      <c r="E158" s="81"/>
      <c r="F158" s="81"/>
      <c r="G158" s="81"/>
      <c r="H158" s="82"/>
    </row>
    <row r="159" spans="1:8" x14ac:dyDescent="0.2">
      <c r="A159" s="80"/>
      <c r="B159" s="81"/>
      <c r="C159" s="81"/>
      <c r="D159" s="81"/>
      <c r="E159" s="81"/>
      <c r="F159" s="81"/>
      <c r="G159" s="81"/>
      <c r="H159" s="82"/>
    </row>
    <row r="160" spans="1:8" x14ac:dyDescent="0.2">
      <c r="A160" s="80"/>
      <c r="B160" s="81"/>
      <c r="C160" s="81"/>
      <c r="D160" s="81"/>
      <c r="E160" s="81"/>
      <c r="F160" s="81"/>
      <c r="G160" s="81"/>
      <c r="H160" s="82"/>
    </row>
    <row r="161" spans="1:8" x14ac:dyDescent="0.2">
      <c r="A161" s="80"/>
      <c r="B161" s="81"/>
      <c r="C161" s="81"/>
      <c r="D161" s="81"/>
      <c r="E161" s="81"/>
      <c r="F161" s="81"/>
      <c r="G161" s="81"/>
      <c r="H161" s="82"/>
    </row>
    <row r="162" spans="1:8" x14ac:dyDescent="0.2">
      <c r="A162" s="80"/>
      <c r="B162" s="81"/>
      <c r="C162" s="81"/>
      <c r="D162" s="81"/>
      <c r="E162" s="81"/>
      <c r="F162" s="81"/>
      <c r="G162" s="81"/>
      <c r="H162" s="82"/>
    </row>
    <row r="163" spans="1:8" x14ac:dyDescent="0.2">
      <c r="A163" s="80"/>
      <c r="B163" s="81"/>
      <c r="C163" s="81"/>
      <c r="D163" s="81"/>
      <c r="E163" s="81"/>
      <c r="F163" s="81"/>
      <c r="G163" s="81"/>
      <c r="H163" s="82"/>
    </row>
    <row r="164" spans="1:8" x14ac:dyDescent="0.2">
      <c r="A164" s="80"/>
      <c r="B164" s="81"/>
      <c r="C164" s="81"/>
      <c r="D164" s="81"/>
      <c r="E164" s="81"/>
      <c r="F164" s="81"/>
      <c r="G164" s="81"/>
      <c r="H164" s="82"/>
    </row>
    <row r="165" spans="1:8" x14ac:dyDescent="0.2">
      <c r="A165" s="80"/>
      <c r="B165" s="81"/>
      <c r="C165" s="81"/>
      <c r="D165" s="81"/>
      <c r="E165" s="81"/>
      <c r="F165" s="81"/>
      <c r="G165" s="81"/>
      <c r="H165" s="82"/>
    </row>
    <row r="166" spans="1:8" x14ac:dyDescent="0.2">
      <c r="A166" s="80"/>
      <c r="B166" s="81"/>
      <c r="C166" s="81"/>
      <c r="D166" s="81"/>
      <c r="E166" s="81"/>
      <c r="F166" s="81"/>
      <c r="G166" s="81"/>
      <c r="H166" s="82"/>
    </row>
    <row r="167" spans="1:8" x14ac:dyDescent="0.2">
      <c r="A167" s="80"/>
      <c r="B167" s="81"/>
      <c r="C167" s="81"/>
      <c r="D167" s="81"/>
      <c r="E167" s="81"/>
      <c r="F167" s="81"/>
      <c r="G167" s="81"/>
      <c r="H167" s="82"/>
    </row>
    <row r="168" spans="1:8" x14ac:dyDescent="0.2">
      <c r="A168" s="80"/>
      <c r="B168" s="81"/>
      <c r="C168" s="81"/>
      <c r="D168" s="81"/>
      <c r="E168" s="81"/>
      <c r="F168" s="81"/>
      <c r="G168" s="81"/>
      <c r="H168" s="82"/>
    </row>
    <row r="169" spans="1:8" x14ac:dyDescent="0.2">
      <c r="A169" s="80"/>
      <c r="B169" s="81"/>
      <c r="C169" s="81"/>
      <c r="D169" s="81"/>
      <c r="E169" s="81"/>
      <c r="F169" s="81"/>
      <c r="G169" s="81"/>
      <c r="H169" s="82"/>
    </row>
    <row r="170" spans="1:8" x14ac:dyDescent="0.2">
      <c r="A170" s="80"/>
      <c r="B170" s="81"/>
      <c r="C170" s="81"/>
      <c r="D170" s="81"/>
      <c r="E170" s="81"/>
      <c r="F170" s="81"/>
      <c r="G170" s="81"/>
      <c r="H170" s="82"/>
    </row>
    <row r="171" spans="1:8" x14ac:dyDescent="0.2">
      <c r="A171" s="80"/>
      <c r="B171" s="81"/>
      <c r="C171" s="81"/>
      <c r="D171" s="81"/>
      <c r="E171" s="81"/>
      <c r="F171" s="81"/>
      <c r="G171" s="81"/>
      <c r="H171" s="82"/>
    </row>
    <row r="172" spans="1:8" x14ac:dyDescent="0.2">
      <c r="A172" s="80"/>
      <c r="B172" s="81"/>
      <c r="C172" s="81"/>
      <c r="D172" s="81"/>
      <c r="E172" s="81"/>
      <c r="F172" s="81"/>
      <c r="G172" s="81"/>
      <c r="H172" s="82"/>
    </row>
    <row r="173" spans="1:8" x14ac:dyDescent="0.2">
      <c r="A173" s="80"/>
      <c r="B173" s="81"/>
      <c r="C173" s="81"/>
      <c r="D173" s="81"/>
      <c r="E173" s="81"/>
      <c r="F173" s="81"/>
      <c r="G173" s="81"/>
      <c r="H173" s="82"/>
    </row>
    <row r="174" spans="1:8" x14ac:dyDescent="0.2">
      <c r="A174" s="80"/>
      <c r="B174" s="81"/>
      <c r="C174" s="81"/>
      <c r="D174" s="81"/>
      <c r="E174" s="81"/>
      <c r="F174" s="81"/>
      <c r="G174" s="81"/>
      <c r="H174" s="82"/>
    </row>
    <row r="175" spans="1:8" x14ac:dyDescent="0.2">
      <c r="A175" s="80"/>
      <c r="B175" s="81"/>
      <c r="C175" s="81"/>
      <c r="D175" s="81"/>
      <c r="E175" s="81"/>
      <c r="F175" s="81"/>
      <c r="G175" s="81"/>
      <c r="H175" s="82"/>
    </row>
    <row r="176" spans="1:8" x14ac:dyDescent="0.2">
      <c r="A176" s="80"/>
      <c r="B176" s="81"/>
      <c r="C176" s="81"/>
      <c r="D176" s="81"/>
      <c r="E176" s="81"/>
      <c r="F176" s="81"/>
      <c r="G176" s="81"/>
      <c r="H176" s="82"/>
    </row>
    <row r="177" spans="1:8" x14ac:dyDescent="0.2">
      <c r="A177" s="80"/>
      <c r="B177" s="81"/>
      <c r="C177" s="81"/>
      <c r="D177" s="81"/>
      <c r="E177" s="81"/>
      <c r="F177" s="81"/>
      <c r="G177" s="81"/>
      <c r="H177" s="82"/>
    </row>
    <row r="178" spans="1:8" x14ac:dyDescent="0.2">
      <c r="A178" s="80"/>
      <c r="B178" s="81"/>
      <c r="C178" s="81"/>
      <c r="D178" s="81"/>
      <c r="E178" s="81"/>
      <c r="F178" s="81"/>
      <c r="G178" s="81"/>
      <c r="H178" s="82"/>
    </row>
    <row r="179" spans="1:8" x14ac:dyDescent="0.2">
      <c r="A179" s="80"/>
      <c r="B179" s="81"/>
      <c r="C179" s="81"/>
      <c r="D179" s="81"/>
      <c r="E179" s="81"/>
      <c r="F179" s="81"/>
      <c r="G179" s="81"/>
      <c r="H179" s="82"/>
    </row>
    <row r="180" spans="1:8" x14ac:dyDescent="0.2">
      <c r="A180" s="80"/>
      <c r="B180" s="81"/>
      <c r="C180" s="81"/>
      <c r="D180" s="81"/>
      <c r="E180" s="81"/>
      <c r="F180" s="81"/>
      <c r="G180" s="81"/>
      <c r="H180" s="82"/>
    </row>
    <row r="181" spans="1:8" x14ac:dyDescent="0.2">
      <c r="A181" s="80"/>
      <c r="B181" s="81"/>
      <c r="C181" s="81"/>
      <c r="D181" s="81"/>
      <c r="E181" s="81"/>
      <c r="F181" s="81"/>
      <c r="G181" s="81"/>
      <c r="H181" s="82"/>
    </row>
    <row r="182" spans="1:8" x14ac:dyDescent="0.2">
      <c r="A182" s="80"/>
      <c r="B182" s="81"/>
      <c r="C182" s="81"/>
      <c r="D182" s="81"/>
      <c r="E182" s="81"/>
      <c r="F182" s="81"/>
      <c r="G182" s="81"/>
      <c r="H182" s="82"/>
    </row>
    <row r="183" spans="1:8" x14ac:dyDescent="0.2">
      <c r="A183" s="80"/>
      <c r="B183" s="81"/>
      <c r="C183" s="81"/>
      <c r="D183" s="81"/>
      <c r="E183" s="81"/>
      <c r="F183" s="81"/>
      <c r="G183" s="81"/>
      <c r="H183" s="82"/>
    </row>
    <row r="184" spans="1:8" ht="13.5" thickBot="1" x14ac:dyDescent="0.25">
      <c r="A184" s="91"/>
      <c r="B184" s="83"/>
      <c r="C184" s="83"/>
      <c r="D184" s="83"/>
      <c r="E184" s="83"/>
      <c r="F184" s="83"/>
      <c r="G184" s="83"/>
      <c r="H184" s="84"/>
    </row>
    <row r="185" spans="1:8" x14ac:dyDescent="0.2">
      <c r="A185" s="73" t="s">
        <v>44</v>
      </c>
      <c r="B185" s="79"/>
      <c r="C185" s="79"/>
      <c r="D185" s="79"/>
      <c r="E185" s="79"/>
      <c r="F185" s="79"/>
      <c r="G185" s="79"/>
      <c r="H185" s="74"/>
    </row>
    <row r="186" spans="1:8" x14ac:dyDescent="0.2">
      <c r="A186" s="85"/>
      <c r="B186" s="86"/>
      <c r="C186" s="86"/>
      <c r="D186" s="86"/>
      <c r="E186" s="86"/>
      <c r="F186" s="86"/>
      <c r="G186" s="86"/>
      <c r="H186" s="87"/>
    </row>
    <row r="187" spans="1:8" x14ac:dyDescent="0.2">
      <c r="A187" s="80"/>
      <c r="B187" s="81"/>
      <c r="C187" s="81"/>
      <c r="D187" s="81"/>
      <c r="E187" s="81"/>
      <c r="F187" s="81"/>
      <c r="G187" s="81"/>
      <c r="H187" s="82"/>
    </row>
    <row r="188" spans="1:8" x14ac:dyDescent="0.2">
      <c r="A188" s="80"/>
      <c r="B188" s="81"/>
      <c r="C188" s="81"/>
      <c r="D188" s="81"/>
      <c r="E188" s="81"/>
      <c r="F188" s="81"/>
      <c r="G188" s="81"/>
      <c r="H188" s="82"/>
    </row>
    <row r="189" spans="1:8" x14ac:dyDescent="0.2">
      <c r="A189" s="80"/>
      <c r="B189" s="81"/>
      <c r="C189" s="81"/>
      <c r="D189" s="81"/>
      <c r="E189" s="81"/>
      <c r="F189" s="81"/>
      <c r="G189" s="81"/>
      <c r="H189" s="82"/>
    </row>
    <row r="190" spans="1:8" x14ac:dyDescent="0.2">
      <c r="A190" s="80"/>
      <c r="B190" s="81"/>
      <c r="C190" s="81"/>
      <c r="D190" s="81"/>
      <c r="E190" s="81"/>
      <c r="F190" s="81"/>
      <c r="G190" s="81"/>
      <c r="H190" s="82"/>
    </row>
    <row r="191" spans="1:8" x14ac:dyDescent="0.2">
      <c r="A191" s="80"/>
      <c r="B191" s="81"/>
      <c r="C191" s="81"/>
      <c r="D191" s="81"/>
      <c r="E191" s="81"/>
      <c r="F191" s="81"/>
      <c r="G191" s="81"/>
      <c r="H191" s="82"/>
    </row>
    <row r="192" spans="1:8" x14ac:dyDescent="0.2">
      <c r="A192" s="80"/>
      <c r="B192" s="81"/>
      <c r="C192" s="81"/>
      <c r="D192" s="81"/>
      <c r="E192" s="81"/>
      <c r="F192" s="81"/>
      <c r="G192" s="81"/>
      <c r="H192" s="82"/>
    </row>
    <row r="193" spans="1:8" x14ac:dyDescent="0.2">
      <c r="A193" s="80"/>
      <c r="B193" s="81"/>
      <c r="C193" s="81"/>
      <c r="D193" s="81"/>
      <c r="E193" s="81"/>
      <c r="F193" s="81"/>
      <c r="G193" s="81"/>
      <c r="H193" s="82"/>
    </row>
    <row r="194" spans="1:8" x14ac:dyDescent="0.2">
      <c r="A194" s="80"/>
      <c r="B194" s="81"/>
      <c r="C194" s="81"/>
      <c r="D194" s="81"/>
      <c r="E194" s="81"/>
      <c r="F194" s="81"/>
      <c r="G194" s="81"/>
      <c r="H194" s="82"/>
    </row>
    <row r="195" spans="1:8" x14ac:dyDescent="0.2">
      <c r="A195" s="80"/>
      <c r="B195" s="81"/>
      <c r="C195" s="81"/>
      <c r="D195" s="81"/>
      <c r="E195" s="81"/>
      <c r="F195" s="81"/>
      <c r="G195" s="81"/>
      <c r="H195" s="82"/>
    </row>
    <row r="196" spans="1:8" x14ac:dyDescent="0.2">
      <c r="A196" s="88"/>
      <c r="B196" s="89"/>
      <c r="C196" s="89"/>
      <c r="D196" s="89"/>
      <c r="E196" s="89"/>
      <c r="F196" s="89"/>
      <c r="G196" s="89"/>
      <c r="H196" s="90"/>
    </row>
    <row r="197" spans="1:8" ht="13.5" thickBot="1" x14ac:dyDescent="0.25">
      <c r="A197" s="70"/>
      <c r="B197" s="63"/>
      <c r="C197" s="63"/>
      <c r="D197" s="63"/>
      <c r="E197" s="63"/>
      <c r="F197" s="63"/>
      <c r="G197" s="63"/>
      <c r="H197" s="64"/>
    </row>
    <row r="198" spans="1:8" ht="13.5" thickBot="1" x14ac:dyDescent="0.25">
      <c r="A198" s="75"/>
      <c r="B198" s="77"/>
      <c r="C198" s="77"/>
      <c r="D198" s="77"/>
      <c r="E198" s="77"/>
      <c r="F198" s="77"/>
      <c r="G198" s="77"/>
      <c r="H198" s="76"/>
    </row>
    <row r="199" spans="1:8" x14ac:dyDescent="0.2">
      <c r="A199" s="71" t="s">
        <v>46</v>
      </c>
      <c r="B199" s="78"/>
      <c r="C199" s="78"/>
      <c r="D199" s="78"/>
      <c r="E199" s="78"/>
      <c r="F199" s="198" t="str">
        <f>$B$14</f>
        <v/>
      </c>
      <c r="G199" s="198"/>
      <c r="H199" s="72"/>
    </row>
    <row r="200" spans="1:8" x14ac:dyDescent="0.2">
      <c r="A200" s="85"/>
      <c r="B200" s="86" t="s">
        <v>47</v>
      </c>
      <c r="C200" s="86"/>
      <c r="D200" s="86"/>
      <c r="E200" s="86"/>
      <c r="F200" s="86"/>
      <c r="G200" s="86"/>
      <c r="H200" s="87"/>
    </row>
    <row r="201" spans="1:8" x14ac:dyDescent="0.2">
      <c r="A201" s="80"/>
      <c r="B201" s="81"/>
      <c r="C201" s="81"/>
      <c r="D201" s="81"/>
      <c r="E201" s="81"/>
      <c r="F201" s="81"/>
      <c r="G201" s="81"/>
      <c r="H201" s="82"/>
    </row>
    <row r="202" spans="1:8" x14ac:dyDescent="0.2">
      <c r="A202" s="80"/>
      <c r="B202" s="81"/>
      <c r="C202" s="81"/>
      <c r="D202" s="81"/>
      <c r="E202" s="81"/>
      <c r="F202" s="81"/>
      <c r="G202" s="81"/>
      <c r="H202" s="82"/>
    </row>
    <row r="203" spans="1:8" x14ac:dyDescent="0.2">
      <c r="A203" s="80"/>
      <c r="B203" s="81"/>
      <c r="C203" s="81"/>
      <c r="D203" s="81"/>
      <c r="E203" s="81"/>
      <c r="F203" s="81"/>
      <c r="G203" s="81"/>
      <c r="H203" s="82"/>
    </row>
    <row r="204" spans="1:8" x14ac:dyDescent="0.2">
      <c r="A204" s="80"/>
      <c r="B204" s="81"/>
      <c r="C204" s="81"/>
      <c r="D204" s="81"/>
      <c r="E204" s="81"/>
      <c r="F204" s="81"/>
      <c r="G204" s="81"/>
      <c r="H204" s="82"/>
    </row>
    <row r="205" spans="1:8" x14ac:dyDescent="0.2">
      <c r="A205" s="80"/>
      <c r="B205" s="81"/>
      <c r="C205" s="81"/>
      <c r="D205" s="81"/>
      <c r="E205" s="81"/>
      <c r="F205" s="81"/>
      <c r="G205" s="81"/>
      <c r="H205" s="82"/>
    </row>
    <row r="206" spans="1:8" x14ac:dyDescent="0.2">
      <c r="A206" s="80"/>
      <c r="B206" s="81"/>
      <c r="C206" s="81"/>
      <c r="D206" s="81"/>
      <c r="E206" s="81"/>
      <c r="F206" s="81"/>
      <c r="G206" s="81"/>
      <c r="H206" s="82"/>
    </row>
    <row r="207" spans="1:8" x14ac:dyDescent="0.2">
      <c r="A207" s="80"/>
      <c r="B207" s="81"/>
      <c r="C207" s="81"/>
      <c r="D207" s="81"/>
      <c r="E207" s="81"/>
      <c r="F207" s="81"/>
      <c r="G207" s="81"/>
      <c r="H207" s="82"/>
    </row>
    <row r="208" spans="1:8" x14ac:dyDescent="0.2">
      <c r="A208" s="80"/>
      <c r="B208" s="81"/>
      <c r="C208" s="81"/>
      <c r="D208" s="81"/>
      <c r="E208" s="81"/>
      <c r="F208" s="81"/>
      <c r="G208" s="81"/>
      <c r="H208" s="82"/>
    </row>
    <row r="209" spans="1:8" x14ac:dyDescent="0.2">
      <c r="A209" s="80"/>
      <c r="B209" s="81"/>
      <c r="C209" s="81"/>
      <c r="D209" s="81"/>
      <c r="E209" s="81"/>
      <c r="F209" s="81"/>
      <c r="G209" s="81"/>
      <c r="H209" s="82"/>
    </row>
    <row r="210" spans="1:8" x14ac:dyDescent="0.2">
      <c r="A210" s="80"/>
      <c r="B210" s="81"/>
      <c r="C210" s="81"/>
      <c r="D210" s="81"/>
      <c r="E210" s="81"/>
      <c r="F210" s="81"/>
      <c r="G210" s="81"/>
      <c r="H210" s="82"/>
    </row>
    <row r="211" spans="1:8" x14ac:dyDescent="0.2">
      <c r="A211" s="80"/>
      <c r="B211" s="81"/>
      <c r="C211" s="81"/>
      <c r="D211" s="81"/>
      <c r="E211" s="81"/>
      <c r="F211" s="81"/>
      <c r="G211" s="81"/>
      <c r="H211" s="82"/>
    </row>
    <row r="212" spans="1:8" x14ac:dyDescent="0.2">
      <c r="A212" s="80"/>
      <c r="B212" s="81"/>
      <c r="C212" s="81"/>
      <c r="D212" s="81"/>
      <c r="E212" s="81"/>
      <c r="F212" s="81"/>
      <c r="G212" s="81"/>
      <c r="H212" s="82"/>
    </row>
    <row r="213" spans="1:8" x14ac:dyDescent="0.2">
      <c r="A213" s="80"/>
      <c r="B213" s="81"/>
      <c r="C213" s="81"/>
      <c r="D213" s="81"/>
      <c r="E213" s="81"/>
      <c r="F213" s="81"/>
      <c r="G213" s="81"/>
      <c r="H213" s="82"/>
    </row>
    <row r="214" spans="1:8" x14ac:dyDescent="0.2">
      <c r="A214" s="80"/>
      <c r="B214" s="81"/>
      <c r="C214" s="81"/>
      <c r="D214" s="81"/>
      <c r="E214" s="81"/>
      <c r="F214" s="81"/>
      <c r="G214" s="81"/>
      <c r="H214" s="82"/>
    </row>
    <row r="215" spans="1:8" x14ac:dyDescent="0.2">
      <c r="A215" s="80"/>
      <c r="B215" s="81"/>
      <c r="C215" s="81"/>
      <c r="D215" s="81"/>
      <c r="E215" s="81"/>
      <c r="F215" s="81"/>
      <c r="G215" s="81"/>
      <c r="H215" s="82"/>
    </row>
    <row r="216" spans="1:8" x14ac:dyDescent="0.2">
      <c r="A216" s="80"/>
      <c r="B216" s="81"/>
      <c r="C216" s="81"/>
      <c r="D216" s="81"/>
      <c r="E216" s="81"/>
      <c r="F216" s="81"/>
      <c r="G216" s="81"/>
      <c r="H216" s="82"/>
    </row>
    <row r="217" spans="1:8" x14ac:dyDescent="0.2">
      <c r="A217" s="80"/>
      <c r="B217" s="81"/>
      <c r="C217" s="81"/>
      <c r="D217" s="81"/>
      <c r="E217" s="81"/>
      <c r="F217" s="81"/>
      <c r="G217" s="81"/>
      <c r="H217" s="82"/>
    </row>
    <row r="218" spans="1:8" x14ac:dyDescent="0.2">
      <c r="A218" s="80"/>
      <c r="B218" s="81"/>
      <c r="C218" s="81"/>
      <c r="D218" s="81"/>
      <c r="E218" s="81"/>
      <c r="F218" s="81"/>
      <c r="G218" s="81"/>
      <c r="H218" s="82"/>
    </row>
    <row r="219" spans="1:8" x14ac:dyDescent="0.2">
      <c r="A219" s="80"/>
      <c r="B219" s="81"/>
      <c r="C219" s="81"/>
      <c r="D219" s="81"/>
      <c r="E219" s="81"/>
      <c r="F219" s="81"/>
      <c r="G219" s="81"/>
      <c r="H219" s="82"/>
    </row>
    <row r="220" spans="1:8" x14ac:dyDescent="0.2">
      <c r="A220" s="80"/>
      <c r="B220" s="81"/>
      <c r="C220" s="81"/>
      <c r="D220" s="81"/>
      <c r="E220" s="81"/>
      <c r="F220" s="81"/>
      <c r="G220" s="81"/>
      <c r="H220" s="82"/>
    </row>
    <row r="221" spans="1:8" x14ac:dyDescent="0.2">
      <c r="A221" s="80"/>
      <c r="B221" s="81"/>
      <c r="C221" s="81"/>
      <c r="D221" s="81"/>
      <c r="E221" s="81"/>
      <c r="F221" s="81"/>
      <c r="G221" s="81"/>
      <c r="H221" s="82"/>
    </row>
    <row r="222" spans="1:8" x14ac:dyDescent="0.2">
      <c r="A222" s="80"/>
      <c r="B222" s="81"/>
      <c r="C222" s="81"/>
      <c r="D222" s="81"/>
      <c r="E222" s="81"/>
      <c r="F222" s="81"/>
      <c r="G222" s="81"/>
      <c r="H222" s="82"/>
    </row>
    <row r="223" spans="1:8" x14ac:dyDescent="0.2">
      <c r="A223" s="80"/>
      <c r="B223" s="81"/>
      <c r="C223" s="81"/>
      <c r="D223" s="81"/>
      <c r="E223" s="81"/>
      <c r="F223" s="81"/>
      <c r="G223" s="81"/>
      <c r="H223" s="82"/>
    </row>
    <row r="224" spans="1:8" x14ac:dyDescent="0.2">
      <c r="A224" s="80"/>
      <c r="B224" s="81"/>
      <c r="C224" s="81"/>
      <c r="D224" s="81"/>
      <c r="E224" s="81"/>
      <c r="F224" s="81"/>
      <c r="G224" s="81"/>
      <c r="H224" s="82"/>
    </row>
    <row r="225" spans="1:8" x14ac:dyDescent="0.2">
      <c r="A225" s="80"/>
      <c r="B225" s="81"/>
      <c r="C225" s="81"/>
      <c r="D225" s="81"/>
      <c r="E225" s="81"/>
      <c r="F225" s="81"/>
      <c r="G225" s="81"/>
      <c r="H225" s="82"/>
    </row>
    <row r="226" spans="1:8" x14ac:dyDescent="0.2">
      <c r="A226" s="80"/>
      <c r="B226" s="81"/>
      <c r="C226" s="81"/>
      <c r="D226" s="81"/>
      <c r="E226" s="81"/>
      <c r="F226" s="81"/>
      <c r="G226" s="81"/>
      <c r="H226" s="82"/>
    </row>
    <row r="227" spans="1:8" x14ac:dyDescent="0.2">
      <c r="A227" s="80"/>
      <c r="B227" s="81"/>
      <c r="C227" s="81"/>
      <c r="D227" s="81"/>
      <c r="E227" s="81"/>
      <c r="F227" s="81"/>
      <c r="G227" s="81"/>
      <c r="H227" s="82"/>
    </row>
    <row r="228" spans="1:8" x14ac:dyDescent="0.2">
      <c r="A228" s="80"/>
      <c r="B228" s="81"/>
      <c r="C228" s="81"/>
      <c r="D228" s="81"/>
      <c r="E228" s="81"/>
      <c r="F228" s="81"/>
      <c r="G228" s="81"/>
      <c r="H228" s="82"/>
    </row>
    <row r="229" spans="1:8" x14ac:dyDescent="0.2">
      <c r="A229" s="80"/>
      <c r="B229" s="81" t="s">
        <v>48</v>
      </c>
      <c r="C229" s="81"/>
      <c r="D229" s="81"/>
      <c r="E229" s="81"/>
      <c r="F229" s="81"/>
      <c r="G229" s="81"/>
      <c r="H229" s="82"/>
    </row>
    <row r="230" spans="1:8" x14ac:dyDescent="0.2">
      <c r="A230" s="80"/>
      <c r="B230" s="81"/>
      <c r="C230" s="81"/>
      <c r="D230" s="81"/>
      <c r="E230" s="81"/>
      <c r="F230" s="81"/>
      <c r="G230" s="81"/>
      <c r="H230" s="82"/>
    </row>
    <row r="231" spans="1:8" x14ac:dyDescent="0.2">
      <c r="A231" s="80"/>
      <c r="B231" s="81"/>
      <c r="C231" s="81"/>
      <c r="D231" s="81"/>
      <c r="E231" s="81"/>
      <c r="F231" s="81"/>
      <c r="G231" s="81"/>
      <c r="H231" s="82"/>
    </row>
    <row r="232" spans="1:8" x14ac:dyDescent="0.2">
      <c r="A232" s="80"/>
      <c r="B232" s="81"/>
      <c r="C232" s="81"/>
      <c r="D232" s="81"/>
      <c r="E232" s="81"/>
      <c r="F232" s="81"/>
      <c r="G232" s="81"/>
      <c r="H232" s="82"/>
    </row>
    <row r="233" spans="1:8" x14ac:dyDescent="0.2">
      <c r="A233" s="80"/>
      <c r="B233" s="81"/>
      <c r="C233" s="81"/>
      <c r="D233" s="81"/>
      <c r="E233" s="81"/>
      <c r="F233" s="81"/>
      <c r="G233" s="81"/>
      <c r="H233" s="82"/>
    </row>
    <row r="234" spans="1:8" x14ac:dyDescent="0.2">
      <c r="A234" s="80"/>
      <c r="B234" s="81"/>
      <c r="C234" s="81"/>
      <c r="D234" s="81"/>
      <c r="E234" s="81"/>
      <c r="F234" s="81"/>
      <c r="G234" s="81"/>
      <c r="H234" s="82"/>
    </row>
    <row r="235" spans="1:8" x14ac:dyDescent="0.2">
      <c r="A235" s="80"/>
      <c r="B235" s="81"/>
      <c r="C235" s="81"/>
      <c r="D235" s="81"/>
      <c r="E235" s="81"/>
      <c r="F235" s="81"/>
      <c r="G235" s="81"/>
      <c r="H235" s="82"/>
    </row>
    <row r="236" spans="1:8" x14ac:dyDescent="0.2">
      <c r="A236" s="80"/>
      <c r="B236" s="81"/>
      <c r="C236" s="81"/>
      <c r="D236" s="81"/>
      <c r="E236" s="81"/>
      <c r="F236" s="81"/>
      <c r="G236" s="81"/>
      <c r="H236" s="82"/>
    </row>
    <row r="237" spans="1:8" x14ac:dyDescent="0.2">
      <c r="A237" s="80"/>
      <c r="B237" s="81"/>
      <c r="C237" s="81"/>
      <c r="D237" s="81"/>
      <c r="E237" s="81"/>
      <c r="F237" s="81"/>
      <c r="G237" s="81"/>
      <c r="H237" s="82"/>
    </row>
    <row r="238" spans="1:8" x14ac:dyDescent="0.2">
      <c r="A238" s="80"/>
      <c r="B238" s="81"/>
      <c r="C238" s="81"/>
      <c r="D238" s="81"/>
      <c r="E238" s="81"/>
      <c r="F238" s="81"/>
      <c r="G238" s="81"/>
      <c r="H238" s="82"/>
    </row>
    <row r="239" spans="1:8" x14ac:dyDescent="0.2">
      <c r="A239" s="80"/>
      <c r="B239" s="81"/>
      <c r="C239" s="81"/>
      <c r="D239" s="81"/>
      <c r="E239" s="81"/>
      <c r="F239" s="81"/>
      <c r="G239" s="81"/>
      <c r="H239" s="82"/>
    </row>
    <row r="240" spans="1:8" x14ac:dyDescent="0.2">
      <c r="A240" s="80"/>
      <c r="B240" s="81"/>
      <c r="C240" s="81"/>
      <c r="D240" s="81"/>
      <c r="E240" s="81"/>
      <c r="F240" s="81"/>
      <c r="G240" s="81"/>
      <c r="H240" s="82"/>
    </row>
    <row r="241" spans="1:8" x14ac:dyDescent="0.2">
      <c r="A241" s="80"/>
      <c r="B241" s="81"/>
      <c r="C241" s="81"/>
      <c r="D241" s="81"/>
      <c r="E241" s="81"/>
      <c r="F241" s="81"/>
      <c r="G241" s="81"/>
      <c r="H241" s="82"/>
    </row>
    <row r="242" spans="1:8" x14ac:dyDescent="0.2">
      <c r="A242" s="80"/>
      <c r="B242" s="81"/>
      <c r="C242" s="81"/>
      <c r="D242" s="81"/>
      <c r="E242" s="81"/>
      <c r="F242" s="81"/>
      <c r="G242" s="81"/>
      <c r="H242" s="82"/>
    </row>
    <row r="243" spans="1:8" x14ac:dyDescent="0.2">
      <c r="A243" s="80"/>
      <c r="B243" s="81"/>
      <c r="C243" s="81"/>
      <c r="D243" s="81"/>
      <c r="E243" s="81"/>
      <c r="F243" s="81"/>
      <c r="G243" s="81"/>
      <c r="H243" s="82"/>
    </row>
    <row r="244" spans="1:8" x14ac:dyDescent="0.2">
      <c r="A244" s="80"/>
      <c r="B244" s="81"/>
      <c r="C244" s="81"/>
      <c r="D244" s="81"/>
      <c r="E244" s="81"/>
      <c r="F244" s="81"/>
      <c r="G244" s="81"/>
      <c r="H244" s="82"/>
    </row>
    <row r="245" spans="1:8" x14ac:dyDescent="0.2">
      <c r="A245" s="80"/>
      <c r="B245" s="81"/>
      <c r="C245" s="81"/>
      <c r="D245" s="81"/>
      <c r="E245" s="81"/>
      <c r="F245" s="81"/>
      <c r="G245" s="81"/>
      <c r="H245" s="82"/>
    </row>
    <row r="246" spans="1:8" x14ac:dyDescent="0.2">
      <c r="A246" s="80"/>
      <c r="B246" s="81"/>
      <c r="C246" s="81"/>
      <c r="D246" s="81"/>
      <c r="E246" s="81"/>
      <c r="F246" s="81"/>
      <c r="G246" s="81"/>
      <c r="H246" s="82"/>
    </row>
    <row r="247" spans="1:8" x14ac:dyDescent="0.2">
      <c r="A247" s="80"/>
      <c r="B247" s="81"/>
      <c r="C247" s="81"/>
      <c r="D247" s="81"/>
      <c r="E247" s="81"/>
      <c r="F247" s="81"/>
      <c r="G247" s="81"/>
      <c r="H247" s="82"/>
    </row>
    <row r="248" spans="1:8" x14ac:dyDescent="0.2">
      <c r="A248" s="80"/>
      <c r="B248" s="81"/>
      <c r="C248" s="81"/>
      <c r="D248" s="81"/>
      <c r="E248" s="81"/>
      <c r="F248" s="81"/>
      <c r="G248" s="81"/>
      <c r="H248" s="82"/>
    </row>
    <row r="249" spans="1:8" x14ac:dyDescent="0.2">
      <c r="A249" s="80"/>
      <c r="B249" s="81"/>
      <c r="C249" s="81"/>
      <c r="D249" s="81"/>
      <c r="E249" s="81"/>
      <c r="F249" s="81"/>
      <c r="G249" s="81"/>
      <c r="H249" s="82"/>
    </row>
    <row r="250" spans="1:8" x14ac:dyDescent="0.2">
      <c r="A250" s="80"/>
      <c r="B250" s="81"/>
      <c r="C250" s="81"/>
      <c r="D250" s="81"/>
      <c r="E250" s="81"/>
      <c r="F250" s="81"/>
      <c r="G250" s="81"/>
      <c r="H250" s="82"/>
    </row>
    <row r="251" spans="1:8" x14ac:dyDescent="0.2">
      <c r="A251" s="80"/>
      <c r="B251" s="81"/>
      <c r="C251" s="81"/>
      <c r="D251" s="81"/>
      <c r="E251" s="81"/>
      <c r="F251" s="81"/>
      <c r="G251" s="81"/>
      <c r="H251" s="82"/>
    </row>
    <row r="252" spans="1:8" x14ac:dyDescent="0.2">
      <c r="A252" s="80"/>
      <c r="B252" s="81"/>
      <c r="C252" s="81"/>
      <c r="D252" s="81"/>
      <c r="E252" s="81"/>
      <c r="F252" s="81"/>
      <c r="G252" s="81"/>
      <c r="H252" s="82"/>
    </row>
    <row r="253" spans="1:8" x14ac:dyDescent="0.2">
      <c r="A253" s="80"/>
      <c r="B253" s="81"/>
      <c r="C253" s="81"/>
      <c r="D253" s="81"/>
      <c r="E253" s="81"/>
      <c r="F253" s="81"/>
      <c r="G253" s="81"/>
      <c r="H253" s="82"/>
    </row>
    <row r="254" spans="1:8" x14ac:dyDescent="0.2">
      <c r="A254" s="80"/>
      <c r="B254" s="81"/>
      <c r="C254" s="81"/>
      <c r="D254" s="81"/>
      <c r="E254" s="81"/>
      <c r="F254" s="81"/>
      <c r="G254" s="81"/>
      <c r="H254" s="82"/>
    </row>
    <row r="255" spans="1:8" x14ac:dyDescent="0.2">
      <c r="A255" s="80"/>
      <c r="B255" s="81"/>
      <c r="C255" s="81"/>
      <c r="D255" s="81"/>
      <c r="E255" s="81"/>
      <c r="F255" s="81"/>
      <c r="G255" s="81"/>
      <c r="H255" s="82"/>
    </row>
    <row r="256" spans="1:8" ht="13.5" thickBot="1" x14ac:dyDescent="0.25">
      <c r="A256" s="91"/>
      <c r="B256" s="83"/>
      <c r="C256" s="83"/>
      <c r="D256" s="83"/>
      <c r="E256" s="83"/>
      <c r="F256" s="83"/>
      <c r="G256" s="83"/>
      <c r="H256" s="84"/>
    </row>
    <row r="257" spans="1:8" x14ac:dyDescent="0.2">
      <c r="A257" s="73" t="s">
        <v>44</v>
      </c>
      <c r="B257" s="79"/>
      <c r="C257" s="79"/>
      <c r="D257" s="79"/>
      <c r="E257" s="79"/>
      <c r="F257" s="79"/>
      <c r="G257" s="79"/>
      <c r="H257" s="74"/>
    </row>
    <row r="258" spans="1:8" x14ac:dyDescent="0.2">
      <c r="A258" s="85"/>
      <c r="B258" s="86"/>
      <c r="C258" s="86"/>
      <c r="D258" s="86"/>
      <c r="E258" s="86"/>
      <c r="F258" s="86"/>
      <c r="G258" s="86"/>
      <c r="H258" s="87"/>
    </row>
    <row r="259" spans="1:8" x14ac:dyDescent="0.2">
      <c r="A259" s="80"/>
      <c r="B259" s="81"/>
      <c r="C259" s="81"/>
      <c r="D259" s="81"/>
      <c r="E259" s="81"/>
      <c r="F259" s="81"/>
      <c r="G259" s="81"/>
      <c r="H259" s="82"/>
    </row>
    <row r="260" spans="1:8" x14ac:dyDescent="0.2">
      <c r="A260" s="80"/>
      <c r="B260" s="81"/>
      <c r="C260" s="81"/>
      <c r="D260" s="81"/>
      <c r="E260" s="81"/>
      <c r="F260" s="81"/>
      <c r="G260" s="81"/>
      <c r="H260" s="82"/>
    </row>
    <row r="261" spans="1:8" x14ac:dyDescent="0.2">
      <c r="A261" s="80"/>
      <c r="B261" s="81"/>
      <c r="C261" s="81"/>
      <c r="D261" s="81"/>
      <c r="E261" s="81"/>
      <c r="F261" s="81"/>
      <c r="G261" s="81"/>
      <c r="H261" s="82"/>
    </row>
    <row r="262" spans="1:8" x14ac:dyDescent="0.2">
      <c r="A262" s="80"/>
      <c r="B262" s="81"/>
      <c r="C262" s="81"/>
      <c r="D262" s="81"/>
      <c r="E262" s="81"/>
      <c r="F262" s="81"/>
      <c r="G262" s="81"/>
      <c r="H262" s="82"/>
    </row>
    <row r="263" spans="1:8" x14ac:dyDescent="0.2">
      <c r="A263" s="88"/>
      <c r="B263" s="89"/>
      <c r="C263" s="89"/>
      <c r="D263" s="89"/>
      <c r="E263" s="89"/>
      <c r="F263" s="89"/>
      <c r="G263" s="89"/>
      <c r="H263" s="90"/>
    </row>
    <row r="264" spans="1:8" ht="13.5" thickBot="1" x14ac:dyDescent="0.25">
      <c r="A264" s="91"/>
      <c r="B264" s="83"/>
      <c r="C264" s="83"/>
      <c r="D264" s="83"/>
      <c r="E264" s="83"/>
      <c r="F264" s="83"/>
      <c r="G264" s="83"/>
      <c r="H264" s="84"/>
    </row>
    <row r="265" spans="1:8" ht="13.5" thickBot="1" x14ac:dyDescent="0.25">
      <c r="A265" s="75"/>
      <c r="B265" s="77"/>
      <c r="C265" s="77"/>
      <c r="D265" s="77"/>
      <c r="E265" s="77"/>
      <c r="F265" s="77"/>
      <c r="G265" s="77"/>
      <c r="H265" s="76"/>
    </row>
    <row r="266" spans="1:8" x14ac:dyDescent="0.2">
      <c r="A266" s="71" t="s">
        <v>126</v>
      </c>
      <c r="B266" s="78"/>
      <c r="C266" s="78"/>
      <c r="D266" s="78"/>
      <c r="E266" s="78"/>
      <c r="F266" s="198" t="str">
        <f>$B$14</f>
        <v/>
      </c>
      <c r="G266" s="198"/>
      <c r="H266" s="72"/>
    </row>
    <row r="267" spans="1:8" x14ac:dyDescent="0.2">
      <c r="A267" s="85"/>
      <c r="B267" s="86"/>
      <c r="C267" s="86"/>
      <c r="D267" s="86"/>
      <c r="E267" s="86"/>
      <c r="F267" s="86"/>
      <c r="G267" s="86"/>
      <c r="H267" s="87"/>
    </row>
    <row r="268" spans="1:8" x14ac:dyDescent="0.2">
      <c r="A268" s="80"/>
      <c r="B268" s="81"/>
      <c r="C268" s="81"/>
      <c r="D268" s="81"/>
      <c r="E268" s="81"/>
      <c r="F268" s="81"/>
      <c r="G268" s="81"/>
      <c r="H268" s="82"/>
    </row>
    <row r="269" spans="1:8" x14ac:dyDescent="0.2">
      <c r="A269" s="80"/>
      <c r="B269" s="81"/>
      <c r="C269" s="81"/>
      <c r="D269" s="81"/>
      <c r="E269" s="81"/>
      <c r="F269" s="81"/>
      <c r="G269" s="81"/>
      <c r="H269" s="82"/>
    </row>
    <row r="270" spans="1:8" x14ac:dyDescent="0.2">
      <c r="A270" s="80"/>
      <c r="B270" s="81"/>
      <c r="C270" s="81"/>
      <c r="D270" s="81"/>
      <c r="E270" s="81"/>
      <c r="F270" s="81"/>
      <c r="G270" s="81"/>
      <c r="H270" s="82"/>
    </row>
    <row r="271" spans="1:8" x14ac:dyDescent="0.2">
      <c r="A271" s="80"/>
      <c r="B271" s="81"/>
      <c r="C271" s="81"/>
      <c r="D271" s="81"/>
      <c r="E271" s="81"/>
      <c r="F271" s="81"/>
      <c r="G271" s="81"/>
      <c r="H271" s="82"/>
    </row>
    <row r="272" spans="1:8" x14ac:dyDescent="0.2">
      <c r="A272" s="80"/>
      <c r="B272" s="81"/>
      <c r="C272" s="81"/>
      <c r="D272" s="81"/>
      <c r="E272" s="81"/>
      <c r="F272" s="81"/>
      <c r="G272" s="81"/>
      <c r="H272" s="82"/>
    </row>
    <row r="273" spans="1:8" x14ac:dyDescent="0.2">
      <c r="A273" s="80"/>
      <c r="B273" s="81"/>
      <c r="C273" s="81"/>
      <c r="D273" s="81"/>
      <c r="E273" s="81"/>
      <c r="F273" s="81"/>
      <c r="G273" s="81"/>
      <c r="H273" s="82"/>
    </row>
    <row r="274" spans="1:8" x14ac:dyDescent="0.2">
      <c r="A274" s="80"/>
      <c r="B274" s="81"/>
      <c r="C274" s="81"/>
      <c r="D274" s="81"/>
      <c r="E274" s="81"/>
      <c r="F274" s="81"/>
      <c r="G274" s="81"/>
      <c r="H274" s="82"/>
    </row>
    <row r="275" spans="1:8" x14ac:dyDescent="0.2">
      <c r="A275" s="80"/>
      <c r="B275" s="81"/>
      <c r="C275" s="81"/>
      <c r="D275" s="81"/>
      <c r="E275" s="81"/>
      <c r="F275" s="81"/>
      <c r="G275" s="81"/>
      <c r="H275" s="82"/>
    </row>
    <row r="276" spans="1:8" x14ac:dyDescent="0.2">
      <c r="A276" s="80"/>
      <c r="B276" s="81"/>
      <c r="C276" s="81"/>
      <c r="D276" s="81"/>
      <c r="E276" s="81"/>
      <c r="F276" s="81"/>
      <c r="G276" s="81"/>
      <c r="H276" s="82"/>
    </row>
    <row r="277" spans="1:8" x14ac:dyDescent="0.2">
      <c r="A277" s="80"/>
      <c r="B277" s="81"/>
      <c r="C277" s="81"/>
      <c r="D277" s="81"/>
      <c r="E277" s="81"/>
      <c r="F277" s="81"/>
      <c r="G277" s="81"/>
      <c r="H277" s="82"/>
    </row>
    <row r="278" spans="1:8" x14ac:dyDescent="0.2">
      <c r="A278" s="80"/>
      <c r="B278" s="81"/>
      <c r="C278" s="81"/>
      <c r="D278" s="81"/>
      <c r="E278" s="81"/>
      <c r="F278" s="81"/>
      <c r="G278" s="81"/>
      <c r="H278" s="82"/>
    </row>
    <row r="279" spans="1:8" x14ac:dyDescent="0.2">
      <c r="A279" s="80"/>
      <c r="B279" s="81"/>
      <c r="C279" s="81"/>
      <c r="D279" s="81"/>
      <c r="E279" s="81"/>
      <c r="F279" s="81"/>
      <c r="G279" s="81"/>
      <c r="H279" s="82"/>
    </row>
    <row r="280" spans="1:8" x14ac:dyDescent="0.2">
      <c r="A280" s="80"/>
      <c r="B280" s="81"/>
      <c r="C280" s="81"/>
      <c r="D280" s="81"/>
      <c r="E280" s="81"/>
      <c r="F280" s="81"/>
      <c r="G280" s="81"/>
      <c r="H280" s="82"/>
    </row>
    <row r="281" spans="1:8" x14ac:dyDescent="0.2">
      <c r="A281" s="80"/>
      <c r="B281" s="81"/>
      <c r="C281" s="81"/>
      <c r="D281" s="81"/>
      <c r="E281" s="81"/>
      <c r="F281" s="81"/>
      <c r="G281" s="81"/>
      <c r="H281" s="82"/>
    </row>
    <row r="282" spans="1:8" x14ac:dyDescent="0.2">
      <c r="A282" s="80"/>
      <c r="B282" s="81"/>
      <c r="C282" s="81"/>
      <c r="D282" s="81"/>
      <c r="E282" s="81"/>
      <c r="F282" s="81"/>
      <c r="G282" s="81"/>
      <c r="H282" s="82"/>
    </row>
    <row r="283" spans="1:8" x14ac:dyDescent="0.2">
      <c r="A283" s="80"/>
      <c r="B283" s="81"/>
      <c r="C283" s="81"/>
      <c r="D283" s="81"/>
      <c r="E283" s="81"/>
      <c r="F283" s="81"/>
      <c r="G283" s="81"/>
      <c r="H283" s="82"/>
    </row>
    <row r="284" spans="1:8" x14ac:dyDescent="0.2">
      <c r="A284" s="80"/>
      <c r="B284" s="81"/>
      <c r="C284" s="81"/>
      <c r="D284" s="81"/>
      <c r="E284" s="81"/>
      <c r="F284" s="81"/>
      <c r="G284" s="81"/>
      <c r="H284" s="82"/>
    </row>
    <row r="285" spans="1:8" x14ac:dyDescent="0.2">
      <c r="A285" s="80"/>
      <c r="B285" s="81"/>
      <c r="C285" s="81"/>
      <c r="D285" s="81"/>
      <c r="E285" s="81"/>
      <c r="F285" s="81"/>
      <c r="G285" s="81"/>
      <c r="H285" s="82"/>
    </row>
    <row r="286" spans="1:8" x14ac:dyDescent="0.2">
      <c r="A286" s="80"/>
      <c r="B286" s="81"/>
      <c r="C286" s="81"/>
      <c r="D286" s="81"/>
      <c r="E286" s="81"/>
      <c r="F286" s="81"/>
      <c r="G286" s="81"/>
      <c r="H286" s="82"/>
    </row>
    <row r="287" spans="1:8" x14ac:dyDescent="0.2">
      <c r="A287" s="80"/>
      <c r="B287" s="81"/>
      <c r="C287" s="81"/>
      <c r="D287" s="81"/>
      <c r="E287" s="81"/>
      <c r="F287" s="81"/>
      <c r="G287" s="81"/>
      <c r="H287" s="82"/>
    </row>
    <row r="288" spans="1:8" x14ac:dyDescent="0.2">
      <c r="A288" s="80"/>
      <c r="B288" s="81"/>
      <c r="C288" s="81"/>
      <c r="D288" s="81"/>
      <c r="E288" s="81"/>
      <c r="F288" s="81"/>
      <c r="G288" s="81"/>
      <c r="H288" s="82"/>
    </row>
    <row r="289" spans="1:8" x14ac:dyDescent="0.2">
      <c r="A289" s="80"/>
      <c r="B289" s="81"/>
      <c r="C289" s="81"/>
      <c r="D289" s="81"/>
      <c r="E289" s="81"/>
      <c r="F289" s="81"/>
      <c r="G289" s="81"/>
      <c r="H289" s="82"/>
    </row>
    <row r="290" spans="1:8" x14ac:dyDescent="0.2">
      <c r="A290" s="80"/>
      <c r="B290" s="81"/>
      <c r="C290" s="81"/>
      <c r="D290" s="81"/>
      <c r="E290" s="81"/>
      <c r="F290" s="81"/>
      <c r="G290" s="81"/>
      <c r="H290" s="82"/>
    </row>
    <row r="291" spans="1:8" x14ac:dyDescent="0.2">
      <c r="A291" s="80"/>
      <c r="B291" s="81"/>
      <c r="C291" s="81"/>
      <c r="D291" s="81"/>
      <c r="E291" s="81"/>
      <c r="F291" s="81"/>
      <c r="G291" s="81"/>
      <c r="H291" s="82"/>
    </row>
    <row r="292" spans="1:8" x14ac:dyDescent="0.2">
      <c r="A292" s="80"/>
      <c r="B292" s="81"/>
      <c r="C292" s="81"/>
      <c r="D292" s="81"/>
      <c r="E292" s="81"/>
      <c r="F292" s="81"/>
      <c r="G292" s="81"/>
      <c r="H292" s="82"/>
    </row>
    <row r="293" spans="1:8" x14ac:dyDescent="0.2">
      <c r="A293" s="80"/>
      <c r="B293" s="81"/>
      <c r="C293" s="81"/>
      <c r="D293" s="81"/>
      <c r="E293" s="81"/>
      <c r="F293" s="81"/>
      <c r="G293" s="81"/>
      <c r="H293" s="82"/>
    </row>
    <row r="294" spans="1:8" x14ac:dyDescent="0.2">
      <c r="A294" s="80"/>
      <c r="B294" s="81"/>
      <c r="C294" s="81"/>
      <c r="D294" s="81"/>
      <c r="E294" s="81"/>
      <c r="F294" s="81"/>
      <c r="G294" s="81"/>
      <c r="H294" s="82"/>
    </row>
    <row r="295" spans="1:8" x14ac:dyDescent="0.2">
      <c r="A295" s="80"/>
      <c r="B295" s="81"/>
      <c r="C295" s="81"/>
      <c r="D295" s="81"/>
      <c r="E295" s="81"/>
      <c r="F295" s="81"/>
      <c r="G295" s="81"/>
      <c r="H295" s="82"/>
    </row>
    <row r="296" spans="1:8" x14ac:dyDescent="0.2">
      <c r="A296" s="80"/>
      <c r="B296" s="81"/>
      <c r="C296" s="81"/>
      <c r="D296" s="81"/>
      <c r="E296" s="81"/>
      <c r="F296" s="81"/>
      <c r="G296" s="81"/>
      <c r="H296" s="82"/>
    </row>
    <row r="297" spans="1:8" x14ac:dyDescent="0.2">
      <c r="A297" s="80"/>
      <c r="B297" s="81"/>
      <c r="C297" s="81"/>
      <c r="D297" s="81"/>
      <c r="E297" s="81"/>
      <c r="F297" s="81"/>
      <c r="G297" s="81"/>
      <c r="H297" s="82"/>
    </row>
    <row r="298" spans="1:8" x14ac:dyDescent="0.2">
      <c r="A298" s="80"/>
      <c r="B298" s="81"/>
      <c r="C298" s="81"/>
      <c r="D298" s="81"/>
      <c r="E298" s="81"/>
      <c r="F298" s="81"/>
      <c r="G298" s="81"/>
      <c r="H298" s="82"/>
    </row>
    <row r="299" spans="1:8" x14ac:dyDescent="0.2">
      <c r="A299" s="80"/>
      <c r="B299" s="81"/>
      <c r="C299" s="81"/>
      <c r="D299" s="81"/>
      <c r="E299" s="81"/>
      <c r="F299" s="81"/>
      <c r="G299" s="81"/>
      <c r="H299" s="82"/>
    </row>
    <row r="300" spans="1:8" x14ac:dyDescent="0.2">
      <c r="A300" s="80"/>
      <c r="B300" s="81"/>
      <c r="C300" s="81"/>
      <c r="D300" s="81"/>
      <c r="E300" s="81"/>
      <c r="F300" s="81"/>
      <c r="G300" s="81"/>
      <c r="H300" s="82"/>
    </row>
    <row r="301" spans="1:8" x14ac:dyDescent="0.2">
      <c r="A301" s="80"/>
      <c r="B301" s="81"/>
      <c r="C301" s="81"/>
      <c r="D301" s="81"/>
      <c r="E301" s="81"/>
      <c r="F301" s="81"/>
      <c r="G301" s="81"/>
      <c r="H301" s="82"/>
    </row>
    <row r="302" spans="1:8" x14ac:dyDescent="0.2">
      <c r="A302" s="80"/>
      <c r="B302" s="81"/>
      <c r="C302" s="81"/>
      <c r="D302" s="81"/>
      <c r="E302" s="81"/>
      <c r="F302" s="81"/>
      <c r="G302" s="81"/>
      <c r="H302" s="82"/>
    </row>
    <row r="303" spans="1:8" x14ac:dyDescent="0.2">
      <c r="A303" s="80"/>
      <c r="B303" s="81"/>
      <c r="C303" s="81"/>
      <c r="D303" s="81"/>
      <c r="E303" s="81"/>
      <c r="F303" s="81"/>
      <c r="G303" s="81"/>
      <c r="H303" s="82"/>
    </row>
    <row r="304" spans="1:8" x14ac:dyDescent="0.2">
      <c r="A304" s="80"/>
      <c r="B304" s="81"/>
      <c r="C304" s="81"/>
      <c r="D304" s="81"/>
      <c r="E304" s="81"/>
      <c r="F304" s="81"/>
      <c r="G304" s="81"/>
      <c r="H304" s="82"/>
    </row>
    <row r="305" spans="1:8" x14ac:dyDescent="0.2">
      <c r="A305" s="80"/>
      <c r="B305" s="81"/>
      <c r="C305" s="81"/>
      <c r="D305" s="81"/>
      <c r="E305" s="81"/>
      <c r="F305" s="81"/>
      <c r="G305" s="81"/>
      <c r="H305" s="82"/>
    </row>
    <row r="306" spans="1:8" x14ac:dyDescent="0.2">
      <c r="A306" s="80"/>
      <c r="B306" s="81"/>
      <c r="C306" s="81"/>
      <c r="D306" s="81"/>
      <c r="E306" s="81"/>
      <c r="F306" s="81"/>
      <c r="G306" s="81"/>
      <c r="H306" s="82"/>
    </row>
    <row r="307" spans="1:8" x14ac:dyDescent="0.2">
      <c r="A307" s="80"/>
      <c r="B307" s="81"/>
      <c r="C307" s="81"/>
      <c r="D307" s="81"/>
      <c r="E307" s="81"/>
      <c r="F307" s="81"/>
      <c r="G307" s="81"/>
      <c r="H307" s="82"/>
    </row>
    <row r="308" spans="1:8" x14ac:dyDescent="0.2">
      <c r="A308" s="80"/>
      <c r="B308" s="81"/>
      <c r="C308" s="81"/>
      <c r="D308" s="81"/>
      <c r="E308" s="81"/>
      <c r="F308" s="81"/>
      <c r="G308" s="81"/>
      <c r="H308" s="82"/>
    </row>
    <row r="309" spans="1:8" x14ac:dyDescent="0.2">
      <c r="A309" s="80"/>
      <c r="B309" s="81"/>
      <c r="C309" s="81"/>
      <c r="D309" s="81"/>
      <c r="E309" s="81"/>
      <c r="F309" s="81"/>
      <c r="G309" s="81"/>
      <c r="H309" s="82"/>
    </row>
    <row r="310" spans="1:8" x14ac:dyDescent="0.2">
      <c r="A310" s="80"/>
      <c r="B310" s="81"/>
      <c r="C310" s="81"/>
      <c r="D310" s="81"/>
      <c r="E310" s="81"/>
      <c r="F310" s="81"/>
      <c r="G310" s="81"/>
      <c r="H310" s="82"/>
    </row>
    <row r="311" spans="1:8" x14ac:dyDescent="0.2">
      <c r="A311" s="80"/>
      <c r="B311" s="81"/>
      <c r="C311" s="81"/>
      <c r="D311" s="81"/>
      <c r="E311" s="81"/>
      <c r="F311" s="81"/>
      <c r="G311" s="81"/>
      <c r="H311" s="82"/>
    </row>
    <row r="312" spans="1:8" x14ac:dyDescent="0.2">
      <c r="A312" s="80"/>
      <c r="B312" s="81"/>
      <c r="C312" s="81"/>
      <c r="D312" s="81"/>
      <c r="E312" s="81"/>
      <c r="F312" s="81"/>
      <c r="G312" s="81"/>
      <c r="H312" s="82"/>
    </row>
    <row r="313" spans="1:8" x14ac:dyDescent="0.2">
      <c r="A313" s="80"/>
      <c r="B313" s="81"/>
      <c r="C313" s="81"/>
      <c r="D313" s="81"/>
      <c r="E313" s="81"/>
      <c r="F313" s="81"/>
      <c r="G313" s="81"/>
      <c r="H313" s="82"/>
    </row>
    <row r="314" spans="1:8" x14ac:dyDescent="0.2">
      <c r="A314" s="80"/>
      <c r="B314" s="81"/>
      <c r="C314" s="81"/>
      <c r="D314" s="81"/>
      <c r="E314" s="81"/>
      <c r="F314" s="81"/>
      <c r="G314" s="81"/>
      <c r="H314" s="82"/>
    </row>
    <row r="315" spans="1:8" x14ac:dyDescent="0.2">
      <c r="A315" s="80"/>
      <c r="B315" s="81"/>
      <c r="C315" s="81"/>
      <c r="D315" s="81"/>
      <c r="E315" s="81"/>
      <c r="F315" s="81"/>
      <c r="G315" s="81"/>
      <c r="H315" s="82"/>
    </row>
    <row r="316" spans="1:8" x14ac:dyDescent="0.2">
      <c r="A316" s="80"/>
      <c r="B316" s="81"/>
      <c r="C316" s="81"/>
      <c r="D316" s="81"/>
      <c r="E316" s="81"/>
      <c r="F316" s="81"/>
      <c r="G316" s="81"/>
      <c r="H316" s="82"/>
    </row>
    <row r="317" spans="1:8" x14ac:dyDescent="0.2">
      <c r="A317" s="80"/>
      <c r="B317" s="81"/>
      <c r="C317" s="81"/>
      <c r="D317" s="81"/>
      <c r="E317" s="81"/>
      <c r="F317" s="81"/>
      <c r="G317" s="81"/>
      <c r="H317" s="82"/>
    </row>
    <row r="318" spans="1:8" x14ac:dyDescent="0.2">
      <c r="A318" s="80"/>
      <c r="B318" s="81"/>
      <c r="C318" s="81"/>
      <c r="D318" s="81"/>
      <c r="E318" s="81"/>
      <c r="F318" s="81"/>
      <c r="G318" s="81"/>
      <c r="H318" s="82"/>
    </row>
    <row r="319" spans="1:8" x14ac:dyDescent="0.2">
      <c r="A319" s="80"/>
      <c r="B319" s="81"/>
      <c r="C319" s="81"/>
      <c r="D319" s="81"/>
      <c r="E319" s="81"/>
      <c r="F319" s="81"/>
      <c r="G319" s="81"/>
      <c r="H319" s="82"/>
    </row>
    <row r="320" spans="1:8" x14ac:dyDescent="0.2">
      <c r="A320" s="80"/>
      <c r="B320" s="81"/>
      <c r="C320" s="81"/>
      <c r="D320" s="81"/>
      <c r="E320" s="81"/>
      <c r="F320" s="81"/>
      <c r="G320" s="81"/>
      <c r="H320" s="82"/>
    </row>
    <row r="321" spans="1:8" x14ac:dyDescent="0.2">
      <c r="A321" s="80"/>
      <c r="B321" s="81"/>
      <c r="C321" s="81"/>
      <c r="D321" s="81"/>
      <c r="E321" s="81"/>
      <c r="F321" s="81"/>
      <c r="G321" s="81"/>
      <c r="H321" s="82"/>
    </row>
    <row r="322" spans="1:8" x14ac:dyDescent="0.2">
      <c r="A322" s="80"/>
      <c r="B322" s="81"/>
      <c r="C322" s="81"/>
      <c r="D322" s="81"/>
      <c r="E322" s="81"/>
      <c r="F322" s="81"/>
      <c r="G322" s="81"/>
      <c r="H322" s="82"/>
    </row>
    <row r="323" spans="1:8" x14ac:dyDescent="0.2">
      <c r="A323" s="80"/>
      <c r="B323" s="81"/>
      <c r="C323" s="81"/>
      <c r="D323" s="81"/>
      <c r="E323" s="81"/>
      <c r="F323" s="81"/>
      <c r="G323" s="81"/>
      <c r="H323" s="82"/>
    </row>
    <row r="324" spans="1:8" x14ac:dyDescent="0.2">
      <c r="A324" s="80"/>
      <c r="B324" s="81"/>
      <c r="C324" s="81"/>
      <c r="D324" s="81"/>
      <c r="E324" s="81"/>
      <c r="F324" s="81"/>
      <c r="G324" s="81"/>
      <c r="H324" s="82"/>
    </row>
    <row r="325" spans="1:8" x14ac:dyDescent="0.2">
      <c r="A325" s="80"/>
      <c r="B325" s="81"/>
      <c r="C325" s="81"/>
      <c r="D325" s="81"/>
      <c r="E325" s="81"/>
      <c r="F325" s="81"/>
      <c r="G325" s="81"/>
      <c r="H325" s="82"/>
    </row>
    <row r="326" spans="1:8" ht="13.5" thickBot="1" x14ac:dyDescent="0.25">
      <c r="A326" s="91"/>
      <c r="B326" s="83"/>
      <c r="C326" s="83"/>
      <c r="D326" s="83"/>
      <c r="E326" s="83"/>
      <c r="F326" s="83"/>
      <c r="G326" s="83"/>
      <c r="H326" s="84"/>
    </row>
    <row r="327" spans="1:8" x14ac:dyDescent="0.2">
      <c r="A327" s="73" t="s">
        <v>44</v>
      </c>
      <c r="B327" s="79"/>
      <c r="C327" s="79"/>
      <c r="D327" s="79"/>
      <c r="E327" s="79"/>
      <c r="F327" s="79"/>
      <c r="G327" s="79"/>
      <c r="H327" s="74"/>
    </row>
    <row r="328" spans="1:8" x14ac:dyDescent="0.2">
      <c r="A328" s="85"/>
      <c r="B328" s="86"/>
      <c r="C328" s="86"/>
      <c r="D328" s="86"/>
      <c r="E328" s="86"/>
      <c r="F328" s="86"/>
      <c r="G328" s="86"/>
      <c r="H328" s="87"/>
    </row>
    <row r="329" spans="1:8" x14ac:dyDescent="0.2">
      <c r="A329" s="80"/>
      <c r="B329" s="81"/>
      <c r="C329" s="81"/>
      <c r="D329" s="81"/>
      <c r="E329" s="81"/>
      <c r="F329" s="81"/>
      <c r="G329" s="81"/>
      <c r="H329" s="82"/>
    </row>
    <row r="330" spans="1:8" ht="13.5" thickBot="1" x14ac:dyDescent="0.25">
      <c r="A330" s="91"/>
      <c r="B330" s="83"/>
      <c r="C330" s="83"/>
      <c r="D330" s="83"/>
      <c r="E330" s="83"/>
      <c r="F330" s="83"/>
      <c r="G330" s="83"/>
      <c r="H330" s="84"/>
    </row>
    <row r="331" spans="1:8" ht="13.5" thickBot="1" x14ac:dyDescent="0.25">
      <c r="A331" s="75"/>
      <c r="B331" s="77"/>
      <c r="C331" s="77"/>
      <c r="D331" s="77"/>
      <c r="E331" s="77"/>
      <c r="F331" s="77"/>
      <c r="G331" s="77"/>
      <c r="H331" s="76"/>
    </row>
  </sheetData>
  <sheetProtection selectLockedCells="1"/>
  <mergeCells count="27">
    <mergeCell ref="F199:G199"/>
    <mergeCell ref="F266:G266"/>
    <mergeCell ref="F133:G133"/>
    <mergeCell ref="F67:G67"/>
    <mergeCell ref="E30:G30"/>
    <mergeCell ref="E29:G29"/>
    <mergeCell ref="G14:H14"/>
    <mergeCell ref="B14:D14"/>
    <mergeCell ref="C15:D15"/>
    <mergeCell ref="G15:H15"/>
    <mergeCell ref="C16:D16"/>
    <mergeCell ref="E16:F16"/>
    <mergeCell ref="F27:H27"/>
    <mergeCell ref="B19:D19"/>
    <mergeCell ref="F19:H19"/>
    <mergeCell ref="F20:H20"/>
    <mergeCell ref="B20:D20"/>
    <mergeCell ref="B21:D21"/>
    <mergeCell ref="A15:B15"/>
    <mergeCell ref="A16:B16"/>
    <mergeCell ref="A17:B17"/>
    <mergeCell ref="E2:H2"/>
    <mergeCell ref="F1:G1"/>
    <mergeCell ref="D1:E1"/>
    <mergeCell ref="B1:C1"/>
    <mergeCell ref="E8:F8"/>
    <mergeCell ref="G8:H8"/>
  </mergeCells>
  <conditionalFormatting sqref="F23:F25 C23:C28 H29:H30">
    <cfRule type="cellIs" dxfId="11" priority="1" operator="equal">
      <formula>"~keuze~"</formula>
    </cfRule>
    <cfRule type="containsText" dxfId="10" priority="5" operator="containsText" text="misschien">
      <formula>NOT(ISERROR(SEARCH("misschien",C23)))</formula>
    </cfRule>
    <cfRule type="containsText" dxfId="9" priority="6" operator="containsText" text="ja">
      <formula>NOT(ISERROR(SEARCH("ja",C23)))</formula>
    </cfRule>
    <cfRule type="containsText" dxfId="8" priority="7" operator="containsText" text="nee">
      <formula>NOT(ISERROR(SEARCH("nee",C23)))</formula>
    </cfRule>
  </conditionalFormatting>
  <hyperlinks>
    <hyperlink ref="B24" location="Projectblad!A104" display="Locatiefoto" xr:uid="{3D6AE331-8299-42C7-A664-9BB0636CDD9A}"/>
    <hyperlink ref="B25" location="Projectblad!A170" display="KLIC" xr:uid="{ECDE242B-877E-4957-B57F-8EAAC5DA60D1}"/>
    <hyperlink ref="A15:B15" location="Projectblad!A236" display="Maximale loopafstand:" xr:uid="{C164008D-5749-4DFF-A40D-A5E05ED865FF}"/>
    <hyperlink ref="A16:B16" location="Projectblad!A156" display="Coordinaten (rijksdriehoek)" xr:uid="{E1697C9C-C8FE-4B71-86EC-3A3A5861A8DD}"/>
    <hyperlink ref="A17:B17" location="Projectblad!A156" display="Coördinaten (DD.dddddd° notatie)" xr:uid="{96712DDB-AF5F-4A9E-8557-1E34D606CBB5}"/>
  </hyperlinks>
  <pageMargins left="0.70866141732283472" right="0.70866141732283472" top="0.74803149606299213" bottom="0.74803149606299213" header="0.31496062992125984" footer="0.55118110236220474"/>
  <pageSetup paperSize="9" scale="84" fitToHeight="0" orientation="portrait" r:id="rId1"/>
  <headerFooter>
    <oddHeader>&amp;R&amp;8Afdrukdatum: &amp;D</oddHeader>
    <oddFooter>&amp;CBlad &amp;P van &amp;N</oddFooter>
  </headerFooter>
  <rowBreaks count="3" manualBreakCount="3">
    <brk id="66" max="16383" man="1"/>
    <brk id="132" max="16383" man="1"/>
    <brk id="198" max="16383" man="1"/>
  </rowBreak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showInputMessage="1" showErrorMessage="1" xr:uid="{00000000-0002-0000-0100-000000000000}">
          <x14:formula1>
            <xm:f>Data!$A$1:$A$4</xm:f>
          </x14:formula1>
          <xm:sqref>H29:H30</xm:sqref>
        </x14:dataValidation>
        <x14:dataValidation type="list" allowBlank="1" showInputMessage="1" xr:uid="{053CB091-2E33-4788-81C2-9739F3AB5DC8}">
          <x14:formula1>
            <xm:f>Data!$A$1:$A$4</xm:f>
          </x14:formula1>
          <xm:sqref>C24:C28</xm:sqref>
        </x14:dataValidation>
        <x14:dataValidation type="list" allowBlank="1" showInputMessage="1" showErrorMessage="1" xr:uid="{D6842532-65AC-4F43-B319-A2D9694FE427}">
          <x14:formula1>
            <xm:f>Data!$A$1:$A$4</xm:f>
          </x14:formula1>
          <xm:sqref>C23 F23:F25</xm:sqref>
        </x14:dataValidation>
        <x14:dataValidation type="list" allowBlank="1" showInputMessage="1" showErrorMessage="1" xr:uid="{59CAD2ED-29D9-4C9A-BA9E-52A9A55EAE04}">
          <x14:formula1>
            <xm:f>Blad2!$A$39:$A$43</xm:f>
          </x14:formula1>
          <xm:sqref>D3:D7 H3:H7</xm:sqref>
        </x14:dataValidation>
        <x14:dataValidation type="list" allowBlank="1" showInputMessage="1" showErrorMessage="1" xr:uid="{B50CD562-24C2-4545-932F-272A09E58E71}">
          <x14:formula1>
            <xm:f>Blad2!$A$45:$A$47</xm:f>
          </x14:formula1>
          <xm:sqref>D9:D13 H9:H13</xm:sqref>
        </x14:dataValidation>
        <x14:dataValidation type="list" allowBlank="1" showInputMessage="1" showErrorMessage="1" xr:uid="{2B61F6BA-6E6F-4CE4-8271-41DFBDF656FF}">
          <x14:formula1>
            <xm:f>Blad2!$I$7:$I$33</xm:f>
          </x14:formula1>
          <xm:sqref>C3:C7 G3:G7</xm:sqref>
        </x14:dataValidation>
        <x14:dataValidation type="list" allowBlank="1" showInputMessage="1" showErrorMessage="1" xr:uid="{AABCE71F-B8FF-4BBC-9E62-FFDE03695AD4}">
          <x14:formula1>
            <xm:f>Blad2!$A$48:$A$50</xm:f>
          </x14:formula1>
          <xm:sqref>F3:F7 F9:F13</xm:sqref>
        </x14:dataValidation>
        <x14:dataValidation type="list" allowBlank="1" showInputMessage="1" showErrorMessage="1" xr:uid="{48E78EE0-0119-43BF-9648-0191DCC39D06}">
          <x14:formula1>
            <xm:f>Blad2!$A$29:$A$32</xm:f>
          </x14:formula1>
          <xm:sqref>B33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B8" sqref="B8"/>
    </sheetView>
  </sheetViews>
  <sheetFormatPr defaultRowHeight="12.75" x14ac:dyDescent="0.2"/>
  <sheetData>
    <row r="1" spans="1:2" x14ac:dyDescent="0.2">
      <c r="A1" s="32" t="s">
        <v>115</v>
      </c>
      <c r="B1" t="s">
        <v>115</v>
      </c>
    </row>
    <row r="2" spans="1:2" x14ac:dyDescent="0.2">
      <c r="A2" s="32" t="s">
        <v>116</v>
      </c>
      <c r="B2" t="s">
        <v>123</v>
      </c>
    </row>
    <row r="3" spans="1:2" x14ac:dyDescent="0.2">
      <c r="A3" s="32" t="s">
        <v>117</v>
      </c>
      <c r="B3" t="s">
        <v>124</v>
      </c>
    </row>
    <row r="4" spans="1:2" x14ac:dyDescent="0.2">
      <c r="A4" s="32" t="s">
        <v>118</v>
      </c>
      <c r="B4" t="s">
        <v>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46198-AD85-4DB0-A14A-9F253E61F0F8}">
  <sheetPr>
    <pageSetUpPr fitToPage="1"/>
  </sheetPr>
  <dimension ref="A1:I338"/>
  <sheetViews>
    <sheetView zoomScale="70" zoomScaleNormal="70" zoomScaleSheetLayoutView="100" workbookViewId="0">
      <selection activeCell="K66" sqref="K66"/>
    </sheetView>
  </sheetViews>
  <sheetFormatPr defaultColWidth="9" defaultRowHeight="12.75" x14ac:dyDescent="0.2"/>
  <cols>
    <col min="1" max="1" width="13" style="52" customWidth="1"/>
    <col min="2" max="2" width="10" style="52" customWidth="1"/>
    <col min="3" max="3" width="13.875" style="52" customWidth="1"/>
    <col min="4" max="4" width="10" style="52" customWidth="1"/>
    <col min="5" max="5" width="13" style="52" bestFit="1" customWidth="1"/>
    <col min="6" max="6" width="10" style="52" customWidth="1"/>
    <col min="7" max="7" width="13" style="52" customWidth="1"/>
    <col min="8" max="8" width="10" style="52" customWidth="1"/>
    <col min="9" max="9" width="9" style="52" customWidth="1"/>
    <col min="10" max="16384" width="9" style="52"/>
  </cols>
  <sheetData>
    <row r="1" spans="1:8" ht="13.15" customHeight="1" thickBot="1" x14ac:dyDescent="0.25">
      <c r="A1" s="100" t="s">
        <v>12</v>
      </c>
      <c r="B1" s="165" t="str">
        <f>[1]Projectomschrijving!D2</f>
        <v>Gemeente: Maassluis</v>
      </c>
      <c r="C1" s="160"/>
      <c r="D1" s="164">
        <v>45348</v>
      </c>
      <c r="E1" s="160"/>
      <c r="F1" s="163" t="str">
        <f>$B$14</f>
        <v>LOC00</v>
      </c>
      <c r="G1" s="160"/>
      <c r="H1" s="96" t="s">
        <v>127</v>
      </c>
    </row>
    <row r="2" spans="1:8" ht="13.15" customHeight="1" thickBot="1" x14ac:dyDescent="0.25">
      <c r="A2" s="53" t="s">
        <v>13</v>
      </c>
      <c r="B2" s="54" t="s">
        <v>14</v>
      </c>
      <c r="C2" s="54"/>
      <c r="D2" s="78"/>
      <c r="E2" s="159" t="s">
        <v>128</v>
      </c>
      <c r="F2" s="160"/>
      <c r="G2" s="161"/>
      <c r="H2" s="162"/>
    </row>
    <row r="3" spans="1:8" x14ac:dyDescent="0.2">
      <c r="A3" s="80">
        <f>Projectblad!A3</f>
        <v>0</v>
      </c>
      <c r="B3" s="121"/>
      <c r="C3" s="125" t="s">
        <v>50</v>
      </c>
      <c r="D3" s="126"/>
      <c r="E3" t="s">
        <v>129</v>
      </c>
      <c r="F3" s="127"/>
      <c r="G3" s="125" t="s">
        <v>50</v>
      </c>
      <c r="H3" s="122"/>
    </row>
    <row r="4" spans="1:8" x14ac:dyDescent="0.2">
      <c r="A4" s="80">
        <f>Projectblad!A4</f>
        <v>0</v>
      </c>
      <c r="B4" s="121"/>
      <c r="C4" s="128"/>
      <c r="D4" s="129"/>
      <c r="E4" t="s">
        <v>129</v>
      </c>
      <c r="F4" s="130"/>
      <c r="G4" s="128"/>
      <c r="H4" s="121"/>
    </row>
    <row r="5" spans="1:8" x14ac:dyDescent="0.2">
      <c r="A5" s="80">
        <f>Projectblad!A5</f>
        <v>0</v>
      </c>
      <c r="B5" s="121"/>
      <c r="C5" s="128"/>
      <c r="D5" s="129"/>
      <c r="E5" t="s">
        <v>130</v>
      </c>
      <c r="F5" s="130"/>
      <c r="G5" s="128"/>
      <c r="H5" s="121"/>
    </row>
    <row r="6" spans="1:8" x14ac:dyDescent="0.2">
      <c r="A6" s="80">
        <f>Projectblad!A6</f>
        <v>0</v>
      </c>
      <c r="B6" s="121"/>
      <c r="C6" s="128"/>
      <c r="D6" s="129"/>
      <c r="E6" t="str">
        <f>IF(A6&gt;"",A6,"")</f>
        <v/>
      </c>
      <c r="F6" s="130"/>
      <c r="G6" s="128"/>
      <c r="H6" s="121"/>
    </row>
    <row r="7" spans="1:8" s="95" customFormat="1" ht="13.15" customHeight="1" thickBot="1" x14ac:dyDescent="0.25">
      <c r="A7" s="91">
        <f>Projectblad!A7</f>
        <v>0</v>
      </c>
      <c r="B7" s="121"/>
      <c r="C7" s="131"/>
      <c r="D7" s="132"/>
      <c r="E7" t="str">
        <f>IF(A7&gt;"",A7,"")</f>
        <v/>
      </c>
      <c r="F7" s="133"/>
      <c r="G7" s="131"/>
      <c r="H7" s="123"/>
    </row>
    <row r="8" spans="1:8" ht="13.15" customHeight="1" thickBot="1" x14ac:dyDescent="0.25">
      <c r="A8" s="53"/>
      <c r="B8" s="54"/>
      <c r="C8" s="54"/>
      <c r="D8" s="79"/>
      <c r="E8" s="166" t="s">
        <v>128</v>
      </c>
      <c r="F8" s="167"/>
      <c r="G8" s="168" t="s">
        <v>131</v>
      </c>
      <c r="H8" s="169"/>
    </row>
    <row r="9" spans="1:8" x14ac:dyDescent="0.2">
      <c r="A9" s="80">
        <f>Projectblad!A9</f>
        <v>0</v>
      </c>
      <c r="B9" s="121"/>
      <c r="C9" s="97"/>
      <c r="D9" s="126"/>
      <c r="E9" t="s">
        <v>129</v>
      </c>
      <c r="F9" s="126"/>
      <c r="G9" t="str">
        <f>IF(C9&gt;"",C9,"")</f>
        <v/>
      </c>
      <c r="H9" s="126"/>
    </row>
    <row r="10" spans="1:8" x14ac:dyDescent="0.2">
      <c r="A10" s="80">
        <f>Projectblad!A10</f>
        <v>0</v>
      </c>
      <c r="B10" s="121"/>
      <c r="C10" s="80"/>
      <c r="D10" s="129"/>
      <c r="E10" t="s">
        <v>129</v>
      </c>
      <c r="F10" s="129"/>
      <c r="G10" t="str">
        <f>IF(C10&gt;"",C10,"")</f>
        <v/>
      </c>
      <c r="H10" s="129"/>
    </row>
    <row r="11" spans="1:8" x14ac:dyDescent="0.2">
      <c r="A11" s="80">
        <f>Projectblad!A11</f>
        <v>0</v>
      </c>
      <c r="B11" s="121"/>
      <c r="C11" s="80"/>
      <c r="D11" s="129"/>
      <c r="E11" t="s">
        <v>129</v>
      </c>
      <c r="F11" s="129"/>
      <c r="G11" t="str">
        <f>IF(C11&gt;"",C11,"")</f>
        <v/>
      </c>
      <c r="H11" s="129"/>
    </row>
    <row r="12" spans="1:8" x14ac:dyDescent="0.2">
      <c r="A12" s="80">
        <f>Projectblad!A12</f>
        <v>0</v>
      </c>
      <c r="B12" s="121" t="str">
        <f>IF(A12&gt;"","OOC……….","")</f>
        <v/>
      </c>
      <c r="C12" s="80"/>
      <c r="D12" s="129"/>
      <c r="E12" t="s">
        <v>129</v>
      </c>
      <c r="F12" s="129"/>
      <c r="G12" t="str">
        <f>IF(C12&gt;"",C12,"")</f>
        <v/>
      </c>
      <c r="H12" s="129"/>
    </row>
    <row r="13" spans="1:8" ht="13.15" customHeight="1" thickBot="1" x14ac:dyDescent="0.25">
      <c r="A13" s="91">
        <f>Projectblad!A13</f>
        <v>0</v>
      </c>
      <c r="B13" s="121" t="str">
        <f>IF(A13&gt;"","OOC……….","")</f>
        <v/>
      </c>
      <c r="C13" s="91"/>
      <c r="D13" s="132"/>
      <c r="E13" t="s">
        <v>129</v>
      </c>
      <c r="F13" s="132"/>
      <c r="G13" t="str">
        <f>IF(C13&gt;"",C13,"")</f>
        <v/>
      </c>
      <c r="H13" s="132"/>
    </row>
    <row r="14" spans="1:8" ht="13.15" customHeight="1" thickBot="1" x14ac:dyDescent="0.25">
      <c r="A14" s="53" t="s">
        <v>16</v>
      </c>
      <c r="B14" s="175" t="str">
        <f>IF(B20="","",CONCATENATE("LOC",B20,F19))</f>
        <v>LOC00</v>
      </c>
      <c r="C14" s="160"/>
      <c r="D14" s="211"/>
      <c r="E14" s="53"/>
      <c r="F14" s="134" t="s">
        <v>17</v>
      </c>
      <c r="G14" s="173"/>
      <c r="H14" s="212"/>
    </row>
    <row r="15" spans="1:8" ht="13.15" customHeight="1" thickBot="1" x14ac:dyDescent="0.25">
      <c r="A15" s="213" t="s">
        <v>19</v>
      </c>
      <c r="B15" s="212"/>
      <c r="C15" s="177">
        <f>Projectblad!C15</f>
        <v>0</v>
      </c>
      <c r="D15" s="212"/>
      <c r="E15" s="54"/>
      <c r="F15" s="57" t="s">
        <v>20</v>
      </c>
      <c r="G15" s="179">
        <f>Projectblad!G15</f>
        <v>0</v>
      </c>
      <c r="H15" s="212"/>
    </row>
    <row r="16" spans="1:8" s="58" customFormat="1" ht="13.15" customHeight="1" thickBot="1" x14ac:dyDescent="0.25">
      <c r="A16" s="214" t="s">
        <v>132</v>
      </c>
      <c r="B16" s="212"/>
      <c r="C16" s="180">
        <f>Projectblad!C16</f>
        <v>0</v>
      </c>
      <c r="D16" s="160"/>
      <c r="E16" s="182">
        <f>Projectblad!E16</f>
        <v>0</v>
      </c>
      <c r="F16" s="212"/>
      <c r="G16" s="102"/>
      <c r="H16" s="103"/>
    </row>
    <row r="17" spans="1:9" s="58" customFormat="1" ht="13.15" customHeight="1" thickBot="1" x14ac:dyDescent="0.25">
      <c r="A17" s="214" t="s">
        <v>133</v>
      </c>
      <c r="B17" s="212"/>
      <c r="C17" s="98" t="s">
        <v>171</v>
      </c>
      <c r="D17" s="99"/>
      <c r="E17" s="98" t="s">
        <v>172</v>
      </c>
      <c r="F17" s="101"/>
      <c r="G17" s="104"/>
      <c r="H17" s="105"/>
    </row>
    <row r="18" spans="1:9" ht="13.15" customHeight="1" thickBot="1" x14ac:dyDescent="0.25">
      <c r="A18" s="55"/>
      <c r="G18" s="106"/>
      <c r="H18" s="107"/>
    </row>
    <row r="19" spans="1:9" x14ac:dyDescent="0.2">
      <c r="A19" s="59" t="s">
        <v>21</v>
      </c>
      <c r="B19" s="215">
        <f>Projectblad!B19</f>
        <v>0</v>
      </c>
      <c r="C19" s="161"/>
      <c r="D19" s="162"/>
      <c r="E19" s="59" t="s">
        <v>22</v>
      </c>
      <c r="F19" s="215">
        <f>Projectblad!F19</f>
        <v>0</v>
      </c>
      <c r="G19" s="161"/>
      <c r="H19" s="162"/>
    </row>
    <row r="20" spans="1:9" x14ac:dyDescent="0.2">
      <c r="A20" s="60" t="s">
        <v>23</v>
      </c>
      <c r="B20" s="216">
        <f>Projectblad!B20</f>
        <v>0</v>
      </c>
      <c r="C20" s="217"/>
      <c r="D20" s="218"/>
      <c r="E20" s="60" t="s">
        <v>24</v>
      </c>
      <c r="F20" s="216">
        <f>Projectblad!F20</f>
        <v>0</v>
      </c>
      <c r="G20" s="217"/>
      <c r="H20" s="218"/>
    </row>
    <row r="21" spans="1:9" ht="13.15" customHeight="1" thickBot="1" x14ac:dyDescent="0.25">
      <c r="A21" s="61" t="s">
        <v>25</v>
      </c>
      <c r="B21" s="210">
        <f>Projectblad!B21</f>
        <v>0</v>
      </c>
      <c r="C21" s="202"/>
      <c r="D21" s="211"/>
      <c r="E21" s="62"/>
      <c r="F21" s="135"/>
      <c r="G21" s="63"/>
      <c r="H21" s="64"/>
    </row>
    <row r="22" spans="1:9" ht="13.15" customHeight="1" thickBot="1" x14ac:dyDescent="0.25">
      <c r="A22" s="65"/>
      <c r="B22" s="66"/>
      <c r="C22" s="66"/>
      <c r="D22" s="66"/>
      <c r="E22" s="66"/>
      <c r="F22" s="66"/>
      <c r="G22" s="66"/>
      <c r="H22" s="67"/>
    </row>
    <row r="23" spans="1:9" ht="13.5" thickBot="1" x14ac:dyDescent="0.25">
      <c r="A23" s="71" t="s">
        <v>26</v>
      </c>
      <c r="B23" s="136" t="s">
        <v>134</v>
      </c>
      <c r="C23" s="137"/>
      <c r="D23" s="138"/>
      <c r="E23" s="139"/>
      <c r="F23" s="204"/>
      <c r="G23" s="205"/>
      <c r="H23" s="206"/>
    </row>
    <row r="24" spans="1:9" ht="13.5" thickBot="1" x14ac:dyDescent="0.25">
      <c r="A24" s="73"/>
      <c r="B24" s="140" t="s">
        <v>135</v>
      </c>
      <c r="C24" s="141"/>
      <c r="D24" s="142"/>
      <c r="E24" s="143"/>
      <c r="F24" s="204"/>
      <c r="G24" s="205"/>
      <c r="H24" s="206"/>
    </row>
    <row r="25" spans="1:9" ht="13.5" thickBot="1" x14ac:dyDescent="0.25">
      <c r="A25" s="73"/>
      <c r="B25" s="136" t="s">
        <v>136</v>
      </c>
      <c r="C25" s="137"/>
      <c r="D25" s="144"/>
      <c r="E25" s="145"/>
      <c r="F25" s="204"/>
      <c r="G25" s="205"/>
      <c r="H25" s="206"/>
    </row>
    <row r="26" spans="1:9" ht="13.15" customHeight="1" thickBot="1" x14ac:dyDescent="0.25">
      <c r="A26" s="73"/>
      <c r="B26" s="207"/>
      <c r="C26" s="208"/>
      <c r="D26" s="208"/>
      <c r="E26" s="208"/>
      <c r="F26" s="208"/>
      <c r="G26" s="208"/>
      <c r="H26" s="209"/>
    </row>
    <row r="27" spans="1:9" ht="13.5" thickBot="1" x14ac:dyDescent="0.25">
      <c r="A27" s="73"/>
      <c r="B27" s="136" t="s">
        <v>137</v>
      </c>
      <c r="C27" s="137"/>
      <c r="D27" s="142"/>
      <c r="E27" s="146"/>
      <c r="F27" s="205"/>
      <c r="G27" s="205"/>
      <c r="H27" s="206"/>
    </row>
    <row r="28" spans="1:9" ht="13.15" customHeight="1" thickBot="1" x14ac:dyDescent="0.25">
      <c r="A28" s="75"/>
      <c r="B28" s="70" t="s">
        <v>138</v>
      </c>
      <c r="C28" s="147"/>
      <c r="D28" s="148"/>
      <c r="E28" s="145"/>
      <c r="F28" s="205"/>
      <c r="G28" s="205"/>
      <c r="H28" s="206"/>
    </row>
    <row r="29" spans="1:9" x14ac:dyDescent="0.2">
      <c r="A29" s="97" t="s">
        <v>37</v>
      </c>
      <c r="B29" s="118"/>
      <c r="C29" s="118"/>
      <c r="D29" s="118"/>
      <c r="E29" s="201" t="s">
        <v>38</v>
      </c>
      <c r="F29" s="161"/>
      <c r="G29" s="161"/>
      <c r="H29" s="114" t="s">
        <v>115</v>
      </c>
      <c r="I29" s="55"/>
    </row>
    <row r="30" spans="1:9" ht="13.15" customHeight="1" thickBot="1" x14ac:dyDescent="0.25">
      <c r="A30" s="80"/>
      <c r="B30" s="81"/>
      <c r="C30" s="81"/>
      <c r="D30" s="81"/>
      <c r="E30" s="199" t="s">
        <v>39</v>
      </c>
      <c r="F30" s="202"/>
      <c r="G30" s="202"/>
      <c r="H30" s="149" t="s">
        <v>115</v>
      </c>
      <c r="I30" s="55"/>
    </row>
    <row r="31" spans="1:9" x14ac:dyDescent="0.2">
      <c r="A31" s="108" t="s">
        <v>104</v>
      </c>
      <c r="B31" t="str">
        <f>Projectblad!B31</f>
        <v/>
      </c>
      <c r="C31" s="81"/>
      <c r="D31" s="81"/>
      <c r="E31" s="81"/>
      <c r="F31" s="81"/>
      <c r="G31" s="81"/>
      <c r="H31" s="117"/>
    </row>
    <row r="32" spans="1:9" x14ac:dyDescent="0.2">
      <c r="A32" s="1"/>
      <c r="B32" s="81"/>
      <c r="C32" s="81"/>
      <c r="D32" s="81"/>
      <c r="E32" s="81"/>
      <c r="F32" s="81"/>
      <c r="G32" s="81"/>
      <c r="H32" s="82"/>
    </row>
    <row r="33" spans="1:8" x14ac:dyDescent="0.2">
      <c r="A33" s="55"/>
      <c r="B33" s="81"/>
      <c r="C33" s="81"/>
      <c r="D33" s="81"/>
      <c r="E33" s="81"/>
      <c r="F33" s="81"/>
      <c r="G33" s="81"/>
      <c r="H33" s="82"/>
    </row>
    <row r="34" spans="1:8" x14ac:dyDescent="0.2">
      <c r="A34" s="55"/>
      <c r="B34" s="81"/>
      <c r="C34" s="81"/>
      <c r="D34" s="81"/>
      <c r="E34" s="81"/>
      <c r="F34" s="81"/>
      <c r="G34" s="81"/>
      <c r="H34" s="82"/>
    </row>
    <row r="35" spans="1:8" x14ac:dyDescent="0.2">
      <c r="A35" s="55"/>
      <c r="B35" s="81"/>
      <c r="C35" s="81"/>
      <c r="D35" s="81"/>
      <c r="E35" s="81"/>
      <c r="F35" s="81"/>
      <c r="G35" s="81"/>
      <c r="H35" s="82"/>
    </row>
    <row r="36" spans="1:8" x14ac:dyDescent="0.2">
      <c r="A36" s="80" t="s">
        <v>106</v>
      </c>
      <c r="B36" s="150"/>
      <c r="C36" s="81"/>
      <c r="D36" s="81"/>
      <c r="E36" s="81"/>
      <c r="F36" s="81"/>
      <c r="G36" s="81"/>
      <c r="H36" s="82"/>
    </row>
    <row r="37" spans="1:8" x14ac:dyDescent="0.2">
      <c r="A37" s="80"/>
      <c r="B37" s="81"/>
      <c r="C37" s="81"/>
      <c r="D37" s="81"/>
      <c r="E37" s="81"/>
      <c r="F37" s="81"/>
      <c r="G37" s="81"/>
      <c r="H37" s="82"/>
    </row>
    <row r="38" spans="1:8" x14ac:dyDescent="0.2">
      <c r="A38" s="80"/>
      <c r="B38" s="81"/>
      <c r="C38" s="81"/>
      <c r="D38" s="81"/>
      <c r="E38" s="81"/>
      <c r="F38" s="81"/>
      <c r="G38" s="81"/>
      <c r="H38" s="82"/>
    </row>
    <row r="39" spans="1:8" x14ac:dyDescent="0.2">
      <c r="A39" s="80"/>
      <c r="B39" s="81"/>
      <c r="C39" s="81"/>
      <c r="D39" s="81"/>
      <c r="E39" s="81"/>
      <c r="F39" s="81"/>
      <c r="G39" s="81"/>
      <c r="H39" s="82"/>
    </row>
    <row r="40" spans="1:8" x14ac:dyDescent="0.2">
      <c r="A40" s="80" t="s">
        <v>105</v>
      </c>
      <c r="B40" s="151"/>
      <c r="C40" s="81"/>
      <c r="D40" s="81"/>
      <c r="E40" s="81"/>
      <c r="F40" s="81"/>
      <c r="G40" s="81"/>
      <c r="H40" s="82"/>
    </row>
    <row r="41" spans="1:8" x14ac:dyDescent="0.2">
      <c r="A41" s="80"/>
      <c r="B41" s="81"/>
      <c r="C41" s="81"/>
      <c r="D41" s="81"/>
      <c r="E41" s="81"/>
      <c r="F41" s="81"/>
      <c r="G41" s="81"/>
      <c r="H41" s="82"/>
    </row>
    <row r="42" spans="1:8" x14ac:dyDescent="0.2">
      <c r="A42" s="80"/>
      <c r="B42" s="81"/>
      <c r="C42" s="81"/>
      <c r="D42" s="81"/>
      <c r="E42" s="81"/>
      <c r="F42" s="81"/>
      <c r="G42" s="81"/>
      <c r="H42" s="82"/>
    </row>
    <row r="43" spans="1:8" x14ac:dyDescent="0.2">
      <c r="A43" s="80"/>
      <c r="B43" s="81"/>
      <c r="C43" s="81"/>
      <c r="D43" s="81"/>
      <c r="E43" s="81"/>
      <c r="F43" s="81"/>
      <c r="G43" s="81"/>
      <c r="H43" s="82"/>
    </row>
    <row r="44" spans="1:8" x14ac:dyDescent="0.2">
      <c r="A44" s="80"/>
      <c r="B44" s="81"/>
      <c r="C44" s="81"/>
      <c r="D44" s="81"/>
      <c r="E44" s="81"/>
      <c r="F44" s="81"/>
      <c r="G44" s="81"/>
      <c r="H44" s="82"/>
    </row>
    <row r="45" spans="1:8" x14ac:dyDescent="0.2">
      <c r="A45" s="80"/>
      <c r="B45" s="81"/>
      <c r="C45" s="81"/>
      <c r="D45" s="81"/>
      <c r="E45" s="81"/>
      <c r="F45" s="81"/>
      <c r="G45" s="81"/>
      <c r="H45" s="82"/>
    </row>
    <row r="46" spans="1:8" x14ac:dyDescent="0.2">
      <c r="A46" s="80"/>
      <c r="B46" s="81"/>
      <c r="C46" s="81"/>
      <c r="D46" s="81"/>
      <c r="E46" s="81"/>
      <c r="F46" s="81"/>
      <c r="G46" s="81"/>
      <c r="H46" s="82"/>
    </row>
    <row r="47" spans="1:8" x14ac:dyDescent="0.2">
      <c r="A47" s="80"/>
      <c r="B47" s="81"/>
      <c r="C47" s="81"/>
      <c r="D47" s="81"/>
      <c r="E47" s="81"/>
      <c r="F47" s="81"/>
      <c r="G47" s="81"/>
      <c r="H47" s="82"/>
    </row>
    <row r="48" spans="1:8" x14ac:dyDescent="0.2">
      <c r="A48" s="80"/>
      <c r="B48" s="81"/>
      <c r="C48" s="81"/>
      <c r="D48" s="81"/>
      <c r="E48" s="81"/>
      <c r="F48" s="81"/>
      <c r="G48" s="81"/>
      <c r="H48" s="82"/>
    </row>
    <row r="49" spans="1:8" x14ac:dyDescent="0.2">
      <c r="A49" s="80"/>
      <c r="B49" s="81"/>
      <c r="C49" s="81"/>
      <c r="D49" s="81"/>
      <c r="E49" s="81"/>
      <c r="F49" s="81"/>
      <c r="G49" s="81"/>
      <c r="H49" s="82"/>
    </row>
    <row r="50" spans="1:8" x14ac:dyDescent="0.2">
      <c r="A50" s="80"/>
      <c r="B50" s="81"/>
      <c r="C50" s="81"/>
      <c r="D50" s="81"/>
      <c r="E50" s="81"/>
      <c r="F50" s="81"/>
      <c r="G50" s="81"/>
      <c r="H50" s="82"/>
    </row>
    <row r="51" spans="1:8" x14ac:dyDescent="0.2">
      <c r="A51" s="80"/>
      <c r="B51" s="81"/>
      <c r="C51" s="81"/>
      <c r="D51" s="81"/>
      <c r="E51" s="81"/>
      <c r="F51" s="81"/>
      <c r="G51" s="81"/>
      <c r="H51" s="82"/>
    </row>
    <row r="52" spans="1:8" x14ac:dyDescent="0.2">
      <c r="A52" s="80"/>
      <c r="B52" s="81"/>
      <c r="C52" s="81"/>
      <c r="D52" s="81"/>
      <c r="E52" s="81"/>
      <c r="F52" s="81"/>
      <c r="G52" s="81"/>
      <c r="H52" s="82"/>
    </row>
    <row r="53" spans="1:8" x14ac:dyDescent="0.2">
      <c r="A53" s="80"/>
      <c r="B53" s="81"/>
      <c r="C53" s="81"/>
      <c r="D53" s="81"/>
      <c r="E53" s="81"/>
      <c r="F53" s="81"/>
      <c r="G53" s="81"/>
      <c r="H53" s="82"/>
    </row>
    <row r="54" spans="1:8" x14ac:dyDescent="0.2">
      <c r="A54" s="80"/>
      <c r="B54" s="81"/>
      <c r="C54" s="81"/>
      <c r="D54" s="81"/>
      <c r="E54" s="81"/>
      <c r="F54" s="81"/>
      <c r="G54" s="81"/>
      <c r="H54" s="82"/>
    </row>
    <row r="55" spans="1:8" x14ac:dyDescent="0.2">
      <c r="A55" s="80"/>
      <c r="B55" s="81"/>
      <c r="C55" s="81"/>
      <c r="D55" s="81"/>
      <c r="E55" s="81"/>
      <c r="F55" s="81"/>
      <c r="G55" s="81"/>
      <c r="H55" s="82"/>
    </row>
    <row r="56" spans="1:8" x14ac:dyDescent="0.2">
      <c r="A56" s="80"/>
      <c r="B56" s="81"/>
      <c r="C56" s="81"/>
      <c r="D56" s="81"/>
      <c r="E56" s="81"/>
      <c r="F56" s="81"/>
      <c r="G56" s="81"/>
      <c r="H56" s="82"/>
    </row>
    <row r="57" spans="1:8" x14ac:dyDescent="0.2">
      <c r="A57" s="80"/>
      <c r="B57" s="81"/>
      <c r="C57" s="81"/>
      <c r="D57" s="81"/>
      <c r="E57" s="81"/>
      <c r="F57" s="81"/>
      <c r="G57" s="81"/>
      <c r="H57" s="82"/>
    </row>
    <row r="58" spans="1:8" x14ac:dyDescent="0.2">
      <c r="A58" s="80"/>
      <c r="B58" s="81"/>
      <c r="C58" s="81"/>
      <c r="D58" s="81"/>
      <c r="E58" s="81"/>
      <c r="F58" s="81"/>
      <c r="G58" s="81"/>
      <c r="H58" s="82"/>
    </row>
    <row r="59" spans="1:8" x14ac:dyDescent="0.2">
      <c r="A59" s="80"/>
      <c r="B59" s="81"/>
      <c r="C59" s="81"/>
      <c r="D59" s="81"/>
      <c r="E59" s="81"/>
      <c r="F59" s="81"/>
      <c r="G59" s="81"/>
      <c r="H59" s="82"/>
    </row>
    <row r="60" spans="1:8" x14ac:dyDescent="0.2">
      <c r="A60" s="80"/>
      <c r="B60" s="81"/>
      <c r="C60" s="81"/>
      <c r="D60" s="81"/>
      <c r="E60" s="81"/>
      <c r="F60" s="81"/>
      <c r="G60" s="81"/>
      <c r="H60" s="82"/>
    </row>
    <row r="61" spans="1:8" x14ac:dyDescent="0.2">
      <c r="A61" s="80"/>
      <c r="B61" s="81"/>
      <c r="C61" s="81"/>
      <c r="D61" s="81"/>
      <c r="E61" s="81"/>
      <c r="F61" s="81"/>
      <c r="G61" s="81"/>
      <c r="H61" s="82"/>
    </row>
    <row r="62" spans="1:8" x14ac:dyDescent="0.2">
      <c r="A62" s="80"/>
      <c r="B62" s="81"/>
      <c r="C62" s="81"/>
      <c r="D62" s="81"/>
      <c r="E62" s="81"/>
      <c r="F62" s="81"/>
      <c r="G62" s="81"/>
      <c r="H62" s="82"/>
    </row>
    <row r="63" spans="1:8" x14ac:dyDescent="0.2">
      <c r="A63" s="80"/>
      <c r="B63" s="81"/>
      <c r="C63" s="81"/>
      <c r="D63" s="81"/>
      <c r="E63" s="81"/>
      <c r="F63" s="81"/>
      <c r="G63" s="81"/>
      <c r="H63" s="82"/>
    </row>
    <row r="64" spans="1:8" x14ac:dyDescent="0.2">
      <c r="A64" s="80"/>
      <c r="B64" s="81"/>
      <c r="C64" s="81"/>
      <c r="D64" s="81"/>
      <c r="E64" s="81"/>
      <c r="F64" s="81"/>
      <c r="G64" s="81"/>
      <c r="H64" s="82"/>
    </row>
    <row r="65" spans="1:8" ht="13.15" customHeight="1" thickBot="1" x14ac:dyDescent="0.25">
      <c r="A65" s="91"/>
      <c r="B65" s="83"/>
      <c r="C65" s="83"/>
      <c r="D65" s="83"/>
      <c r="E65" s="83"/>
      <c r="F65" s="83"/>
      <c r="G65" s="83"/>
      <c r="H65" s="84"/>
    </row>
    <row r="66" spans="1:8" ht="13.15" customHeight="1" thickBot="1" x14ac:dyDescent="0.25">
      <c r="A66" s="53"/>
      <c r="B66" s="54"/>
      <c r="C66" s="54"/>
      <c r="D66" s="54"/>
      <c r="E66" s="54"/>
      <c r="F66" s="77"/>
      <c r="G66" s="77"/>
      <c r="H66" s="76"/>
    </row>
    <row r="67" spans="1:8" x14ac:dyDescent="0.2">
      <c r="A67" s="71" t="s">
        <v>42</v>
      </c>
      <c r="B67" s="78"/>
      <c r="C67" s="78"/>
      <c r="D67" s="78"/>
      <c r="E67" s="78"/>
      <c r="F67" s="198" t="str">
        <f>$B$14</f>
        <v>LOC00</v>
      </c>
      <c r="G67" s="203"/>
      <c r="H67" s="72"/>
    </row>
    <row r="68" spans="1:8" x14ac:dyDescent="0.2">
      <c r="A68" s="85"/>
      <c r="B68" s="86"/>
      <c r="C68" s="86"/>
      <c r="D68" s="86"/>
      <c r="E68" s="86"/>
      <c r="F68" s="81"/>
      <c r="G68" s="81"/>
      <c r="H68" s="87"/>
    </row>
    <row r="69" spans="1:8" x14ac:dyDescent="0.2">
      <c r="A69" s="80"/>
      <c r="B69" s="81"/>
      <c r="C69" s="81"/>
      <c r="D69" s="81"/>
      <c r="E69" s="81"/>
      <c r="F69" s="81"/>
      <c r="G69" s="81"/>
      <c r="H69" s="82"/>
    </row>
    <row r="70" spans="1:8" x14ac:dyDescent="0.2">
      <c r="A70" s="80"/>
      <c r="B70" s="81"/>
      <c r="C70" s="81"/>
      <c r="D70" s="81"/>
      <c r="E70" s="81"/>
      <c r="F70" s="81"/>
      <c r="G70" s="81"/>
      <c r="H70" s="82"/>
    </row>
    <row r="71" spans="1:8" x14ac:dyDescent="0.2">
      <c r="A71" s="80"/>
      <c r="B71" s="81"/>
      <c r="C71" s="81"/>
      <c r="D71" s="81"/>
      <c r="E71" s="81"/>
      <c r="F71" s="81"/>
      <c r="G71" s="81"/>
      <c r="H71" s="82"/>
    </row>
    <row r="72" spans="1:8" x14ac:dyDescent="0.2">
      <c r="A72" s="80"/>
      <c r="B72" s="81"/>
      <c r="C72" s="81"/>
      <c r="D72" s="81"/>
      <c r="E72" s="81"/>
      <c r="F72" s="81"/>
      <c r="G72" s="81"/>
      <c r="H72" s="82"/>
    </row>
    <row r="73" spans="1:8" x14ac:dyDescent="0.2">
      <c r="A73" s="80"/>
      <c r="B73" s="81"/>
      <c r="C73" s="81"/>
      <c r="D73" s="81"/>
      <c r="E73" s="81"/>
      <c r="F73" s="81"/>
      <c r="G73" s="81"/>
      <c r="H73" s="82"/>
    </row>
    <row r="74" spans="1:8" x14ac:dyDescent="0.2">
      <c r="A74" s="80"/>
      <c r="B74" s="81"/>
      <c r="C74" s="81"/>
      <c r="D74" s="81"/>
      <c r="E74" s="81"/>
      <c r="F74" s="81"/>
      <c r="G74" s="81"/>
      <c r="H74" s="82"/>
    </row>
    <row r="75" spans="1:8" x14ac:dyDescent="0.2">
      <c r="A75" s="80"/>
      <c r="B75" s="81"/>
      <c r="C75" s="81"/>
      <c r="D75" s="81"/>
      <c r="E75" s="81"/>
      <c r="F75" s="81"/>
      <c r="G75" s="81"/>
      <c r="H75" s="82"/>
    </row>
    <row r="76" spans="1:8" x14ac:dyDescent="0.2">
      <c r="A76" s="80"/>
      <c r="B76" s="81"/>
      <c r="C76" s="81"/>
      <c r="D76" s="81"/>
      <c r="E76" s="81"/>
      <c r="F76" s="81"/>
      <c r="G76" s="81"/>
      <c r="H76" s="82"/>
    </row>
    <row r="77" spans="1:8" x14ac:dyDescent="0.2">
      <c r="A77" s="80"/>
      <c r="B77" s="81"/>
      <c r="C77" s="81"/>
      <c r="D77" s="81"/>
      <c r="E77" s="81"/>
      <c r="F77" s="81"/>
      <c r="G77" s="81"/>
      <c r="H77" s="82"/>
    </row>
    <row r="78" spans="1:8" x14ac:dyDescent="0.2">
      <c r="A78" s="80"/>
      <c r="B78" s="81"/>
      <c r="C78" s="81"/>
      <c r="D78" s="81"/>
      <c r="E78" s="81"/>
      <c r="F78" s="81"/>
      <c r="G78" s="81"/>
      <c r="H78" s="82"/>
    </row>
    <row r="79" spans="1:8" x14ac:dyDescent="0.2">
      <c r="A79" s="80"/>
      <c r="B79" s="81"/>
      <c r="C79" s="81"/>
      <c r="D79" s="81"/>
      <c r="E79" s="81"/>
      <c r="F79" s="81"/>
      <c r="G79" s="81"/>
      <c r="H79" s="82"/>
    </row>
    <row r="80" spans="1:8" x14ac:dyDescent="0.2">
      <c r="A80" s="80"/>
      <c r="B80" s="81"/>
      <c r="C80" s="81"/>
      <c r="D80" s="81"/>
      <c r="E80" s="81"/>
      <c r="F80" s="81"/>
      <c r="G80" s="81"/>
      <c r="H80" s="82"/>
    </row>
    <row r="81" spans="1:8" x14ac:dyDescent="0.2">
      <c r="A81" s="80"/>
      <c r="B81" s="81"/>
      <c r="C81" s="81"/>
      <c r="D81" s="81"/>
      <c r="E81" s="81"/>
      <c r="F81" s="81"/>
      <c r="G81" s="81"/>
      <c r="H81" s="82"/>
    </row>
    <row r="82" spans="1:8" x14ac:dyDescent="0.2">
      <c r="A82" s="80"/>
      <c r="B82" s="81"/>
      <c r="C82" s="81"/>
      <c r="D82" s="81"/>
      <c r="E82" s="81"/>
      <c r="F82" s="81"/>
      <c r="G82" s="81"/>
      <c r="H82" s="82"/>
    </row>
    <row r="83" spans="1:8" x14ac:dyDescent="0.2">
      <c r="A83" s="80"/>
      <c r="B83" s="81"/>
      <c r="C83" s="81"/>
      <c r="D83" s="81"/>
      <c r="E83" s="81"/>
      <c r="F83" s="81"/>
      <c r="G83" s="81"/>
      <c r="H83" s="82"/>
    </row>
    <row r="84" spans="1:8" x14ac:dyDescent="0.2">
      <c r="A84" s="80"/>
      <c r="B84" s="81"/>
      <c r="C84" s="81"/>
      <c r="D84" s="81"/>
      <c r="E84" s="81"/>
      <c r="F84" s="81"/>
      <c r="G84" s="81"/>
      <c r="H84" s="82"/>
    </row>
    <row r="85" spans="1:8" x14ac:dyDescent="0.2">
      <c r="A85" s="80"/>
      <c r="B85" s="81"/>
      <c r="C85" s="81"/>
      <c r="D85" s="81"/>
      <c r="E85" s="81"/>
      <c r="F85" s="81"/>
      <c r="G85" s="81"/>
      <c r="H85" s="82"/>
    </row>
    <row r="86" spans="1:8" x14ac:dyDescent="0.2">
      <c r="A86" s="80"/>
      <c r="B86" s="81"/>
      <c r="C86" s="81"/>
      <c r="D86" s="81"/>
      <c r="E86" s="81"/>
      <c r="F86" s="81"/>
      <c r="G86" s="81"/>
      <c r="H86" s="82"/>
    </row>
    <row r="87" spans="1:8" x14ac:dyDescent="0.2">
      <c r="A87" s="80"/>
      <c r="B87" s="81"/>
      <c r="C87" s="81"/>
      <c r="D87" s="81"/>
      <c r="E87" s="81"/>
      <c r="F87" s="81"/>
      <c r="G87" s="81"/>
      <c r="H87" s="82"/>
    </row>
    <row r="88" spans="1:8" x14ac:dyDescent="0.2">
      <c r="A88" s="80"/>
      <c r="B88" s="81"/>
      <c r="C88" s="81"/>
      <c r="D88" s="81"/>
      <c r="E88" s="81"/>
      <c r="F88" s="81"/>
      <c r="G88" s="81"/>
      <c r="H88" s="82"/>
    </row>
    <row r="89" spans="1:8" x14ac:dyDescent="0.2">
      <c r="A89" s="80"/>
      <c r="B89" s="81"/>
      <c r="C89" s="81"/>
      <c r="D89" s="81"/>
      <c r="E89" s="81"/>
      <c r="F89" s="81"/>
      <c r="G89" s="81"/>
      <c r="H89" s="82"/>
    </row>
    <row r="90" spans="1:8" x14ac:dyDescent="0.2">
      <c r="A90" s="80"/>
      <c r="B90" s="81"/>
      <c r="C90" s="81"/>
      <c r="D90" s="81"/>
      <c r="E90" s="81"/>
      <c r="F90" s="81"/>
      <c r="G90" s="81"/>
      <c r="H90" s="82"/>
    </row>
    <row r="91" spans="1:8" x14ac:dyDescent="0.2">
      <c r="A91" s="80"/>
      <c r="B91" s="81"/>
      <c r="C91" s="81"/>
      <c r="D91" s="81"/>
      <c r="E91" s="81"/>
      <c r="F91" s="81"/>
      <c r="G91" s="81"/>
      <c r="H91" s="82"/>
    </row>
    <row r="92" spans="1:8" x14ac:dyDescent="0.2">
      <c r="A92" s="88"/>
      <c r="B92" s="89"/>
      <c r="C92" s="89"/>
      <c r="D92" s="89"/>
      <c r="E92" s="89"/>
      <c r="F92" s="89"/>
      <c r="G92" s="89"/>
      <c r="H92" s="90"/>
    </row>
    <row r="93" spans="1:8" x14ac:dyDescent="0.2">
      <c r="A93" s="73" t="s">
        <v>139</v>
      </c>
      <c r="B93" s="79"/>
      <c r="C93" s="79"/>
      <c r="D93" s="79"/>
      <c r="E93" s="79"/>
      <c r="F93" s="79"/>
      <c r="G93" s="79"/>
      <c r="H93" s="74"/>
    </row>
    <row r="94" spans="1:8" x14ac:dyDescent="0.2">
      <c r="A94" s="85"/>
      <c r="B94" s="86"/>
      <c r="C94" s="86"/>
      <c r="D94" s="86"/>
      <c r="E94" s="86"/>
      <c r="F94" s="86"/>
      <c r="G94" s="86"/>
      <c r="H94" s="87"/>
    </row>
    <row r="95" spans="1:8" x14ac:dyDescent="0.2">
      <c r="A95" s="80"/>
      <c r="B95" s="81"/>
      <c r="C95" s="81"/>
      <c r="D95" s="81"/>
      <c r="E95" s="81"/>
      <c r="F95" s="81"/>
      <c r="G95" s="81"/>
      <c r="H95" s="82"/>
    </row>
    <row r="96" spans="1:8" x14ac:dyDescent="0.2">
      <c r="A96" s="80"/>
      <c r="B96" s="81"/>
      <c r="C96" s="81"/>
      <c r="D96" s="81"/>
      <c r="E96" s="81"/>
      <c r="F96" s="81"/>
      <c r="G96" s="81"/>
      <c r="H96" s="82"/>
    </row>
    <row r="97" spans="1:8" x14ac:dyDescent="0.2">
      <c r="A97" s="80"/>
      <c r="B97" s="81"/>
      <c r="C97" s="81"/>
      <c r="D97" s="81"/>
      <c r="E97" s="81"/>
      <c r="F97" s="81"/>
      <c r="G97" s="81"/>
      <c r="H97" s="82"/>
    </row>
    <row r="98" spans="1:8" x14ac:dyDescent="0.2">
      <c r="A98" s="80"/>
      <c r="B98" s="81"/>
      <c r="C98" s="81"/>
      <c r="D98" s="81"/>
      <c r="E98" s="81"/>
      <c r="F98" s="81"/>
      <c r="G98" s="81"/>
      <c r="H98" s="82"/>
    </row>
    <row r="99" spans="1:8" x14ac:dyDescent="0.2">
      <c r="A99" s="80"/>
      <c r="B99" s="81"/>
      <c r="C99" s="81"/>
      <c r="D99" s="81"/>
      <c r="E99" s="81"/>
      <c r="F99" s="81"/>
      <c r="G99" s="81"/>
      <c r="H99" s="82"/>
    </row>
    <row r="100" spans="1:8" x14ac:dyDescent="0.2">
      <c r="A100" s="80"/>
      <c r="B100" s="81"/>
      <c r="C100" s="81"/>
      <c r="D100" s="81"/>
      <c r="E100" s="81"/>
      <c r="F100" s="81"/>
      <c r="G100" s="81"/>
      <c r="H100" s="82"/>
    </row>
    <row r="101" spans="1:8" x14ac:dyDescent="0.2">
      <c r="A101" s="80"/>
      <c r="B101" s="81"/>
      <c r="C101" s="81"/>
      <c r="D101" s="81"/>
      <c r="E101" s="81"/>
      <c r="F101" s="81"/>
      <c r="G101" s="81"/>
      <c r="H101" s="82"/>
    </row>
    <row r="102" spans="1:8" x14ac:dyDescent="0.2">
      <c r="A102" s="80"/>
      <c r="B102" s="81"/>
      <c r="C102" s="81"/>
      <c r="D102" s="81"/>
      <c r="E102" s="81"/>
      <c r="F102" s="81"/>
      <c r="G102" s="81"/>
      <c r="H102" s="82"/>
    </row>
    <row r="103" spans="1:8" x14ac:dyDescent="0.2">
      <c r="A103" s="80"/>
      <c r="B103" s="81"/>
      <c r="C103" s="81"/>
      <c r="D103" s="81"/>
      <c r="E103" s="81"/>
      <c r="F103" s="81"/>
      <c r="G103" s="81"/>
      <c r="H103" s="82"/>
    </row>
    <row r="104" spans="1:8" x14ac:dyDescent="0.2">
      <c r="A104" s="80"/>
      <c r="B104" s="81"/>
      <c r="C104" s="81"/>
      <c r="D104" s="81"/>
      <c r="E104" s="81"/>
      <c r="F104" s="81"/>
      <c r="G104" s="81"/>
      <c r="H104" s="82"/>
    </row>
    <row r="105" spans="1:8" x14ac:dyDescent="0.2">
      <c r="A105" s="80"/>
      <c r="B105" s="81"/>
      <c r="C105" s="81"/>
      <c r="D105" s="81"/>
      <c r="E105" s="81"/>
      <c r="F105" s="81"/>
      <c r="G105" s="81"/>
      <c r="H105" s="82"/>
    </row>
    <row r="106" spans="1:8" x14ac:dyDescent="0.2">
      <c r="A106" s="80"/>
      <c r="B106" s="81"/>
      <c r="C106" s="81"/>
      <c r="D106" s="81"/>
      <c r="E106" s="81"/>
      <c r="F106" s="81"/>
      <c r="G106" s="81"/>
      <c r="H106" s="82"/>
    </row>
    <row r="107" spans="1:8" x14ac:dyDescent="0.2">
      <c r="A107" s="80"/>
      <c r="B107" s="81"/>
      <c r="C107" s="81"/>
      <c r="D107" s="81"/>
      <c r="E107" s="81"/>
      <c r="F107" s="81"/>
      <c r="G107" s="81"/>
      <c r="H107" s="82"/>
    </row>
    <row r="108" spans="1:8" x14ac:dyDescent="0.2">
      <c r="A108" s="80"/>
      <c r="B108" s="81"/>
      <c r="C108" s="81"/>
      <c r="D108" s="81"/>
      <c r="E108" s="81"/>
      <c r="F108" s="81"/>
      <c r="G108" s="81"/>
      <c r="H108" s="82"/>
    </row>
    <row r="109" spans="1:8" x14ac:dyDescent="0.2">
      <c r="A109" s="80"/>
      <c r="B109" s="81"/>
      <c r="C109" s="81"/>
      <c r="D109" s="81"/>
      <c r="E109" s="81"/>
      <c r="F109" s="81"/>
      <c r="G109" s="81"/>
      <c r="H109" s="82"/>
    </row>
    <row r="110" spans="1:8" x14ac:dyDescent="0.2">
      <c r="A110" s="80"/>
      <c r="B110" s="81"/>
      <c r="C110" s="81"/>
      <c r="D110" s="81"/>
      <c r="E110" s="81"/>
      <c r="F110" s="81"/>
      <c r="G110" s="81"/>
      <c r="H110" s="82"/>
    </row>
    <row r="111" spans="1:8" x14ac:dyDescent="0.2">
      <c r="A111" s="80"/>
      <c r="B111" s="81"/>
      <c r="C111" s="81"/>
      <c r="D111" s="81"/>
      <c r="E111" s="81"/>
      <c r="F111" s="81"/>
      <c r="G111" s="81"/>
      <c r="H111" s="82"/>
    </row>
    <row r="112" spans="1:8" x14ac:dyDescent="0.2">
      <c r="A112" s="80"/>
      <c r="B112" s="81"/>
      <c r="C112" s="81"/>
      <c r="D112" s="81"/>
      <c r="E112" s="81"/>
      <c r="F112" s="81"/>
      <c r="G112" s="81"/>
      <c r="H112" s="82"/>
    </row>
    <row r="113" spans="1:8" x14ac:dyDescent="0.2">
      <c r="A113" s="80"/>
      <c r="B113" s="81"/>
      <c r="C113" s="81"/>
      <c r="D113" s="81"/>
      <c r="E113" s="81"/>
      <c r="F113" s="81"/>
      <c r="G113" s="81"/>
      <c r="H113" s="82"/>
    </row>
    <row r="114" spans="1:8" x14ac:dyDescent="0.2">
      <c r="A114" s="80"/>
      <c r="B114" s="81"/>
      <c r="C114" s="81"/>
      <c r="D114" s="81"/>
      <c r="E114" s="81"/>
      <c r="F114" s="81"/>
      <c r="G114" s="81"/>
      <c r="H114" s="82"/>
    </row>
    <row r="115" spans="1:8" x14ac:dyDescent="0.2">
      <c r="A115" s="80"/>
      <c r="B115" s="81"/>
      <c r="C115" s="81"/>
      <c r="D115" s="81"/>
      <c r="E115" s="81"/>
      <c r="F115" s="81"/>
      <c r="G115" s="81"/>
      <c r="H115" s="82"/>
    </row>
    <row r="116" spans="1:8" x14ac:dyDescent="0.2">
      <c r="A116" s="80"/>
      <c r="B116" s="81"/>
      <c r="C116" s="81"/>
      <c r="D116" s="81"/>
      <c r="E116" s="81"/>
      <c r="F116" s="81"/>
      <c r="G116" s="81"/>
      <c r="H116" s="82"/>
    </row>
    <row r="117" spans="1:8" x14ac:dyDescent="0.2">
      <c r="A117" s="80"/>
      <c r="B117" s="81"/>
      <c r="C117" s="81"/>
      <c r="D117" s="81"/>
      <c r="E117" s="81"/>
      <c r="F117" s="81"/>
      <c r="G117" s="81"/>
      <c r="H117" s="82"/>
    </row>
    <row r="118" spans="1:8" x14ac:dyDescent="0.2">
      <c r="A118" s="88"/>
      <c r="B118" s="89"/>
      <c r="C118" s="89"/>
      <c r="D118" s="89"/>
      <c r="E118" s="89"/>
      <c r="F118" s="89"/>
      <c r="G118" s="89"/>
      <c r="H118" s="90"/>
    </row>
    <row r="119" spans="1:8" x14ac:dyDescent="0.2">
      <c r="A119" s="73" t="s">
        <v>44</v>
      </c>
      <c r="B119" s="79"/>
      <c r="C119" s="79"/>
      <c r="D119" s="79"/>
      <c r="E119" s="79"/>
      <c r="F119" s="79"/>
      <c r="G119" s="79"/>
      <c r="H119" s="74"/>
    </row>
    <row r="120" spans="1:8" x14ac:dyDescent="0.2">
      <c r="A120" s="85"/>
      <c r="B120" s="86"/>
      <c r="C120" s="86"/>
      <c r="D120" s="86"/>
      <c r="E120" s="86"/>
      <c r="F120" s="86"/>
      <c r="G120" s="86"/>
      <c r="H120" s="87"/>
    </row>
    <row r="121" spans="1:8" x14ac:dyDescent="0.2">
      <c r="A121" s="80"/>
      <c r="B121" s="81"/>
      <c r="C121" s="81"/>
      <c r="D121" s="81"/>
      <c r="E121" s="81"/>
      <c r="F121" s="81"/>
      <c r="G121" s="81"/>
      <c r="H121" s="82"/>
    </row>
    <row r="122" spans="1:8" x14ac:dyDescent="0.2">
      <c r="A122" s="80"/>
      <c r="B122" s="81"/>
      <c r="C122" s="81"/>
      <c r="D122" s="81"/>
      <c r="E122" s="81"/>
      <c r="F122" s="81"/>
      <c r="G122" s="81"/>
      <c r="H122" s="82"/>
    </row>
    <row r="123" spans="1:8" x14ac:dyDescent="0.2">
      <c r="A123" s="80"/>
      <c r="B123" s="81"/>
      <c r="C123" s="81"/>
      <c r="D123" s="81"/>
      <c r="E123" s="81"/>
      <c r="F123" s="81"/>
      <c r="G123" s="81"/>
      <c r="H123" s="82"/>
    </row>
    <row r="124" spans="1:8" x14ac:dyDescent="0.2">
      <c r="A124" s="80"/>
      <c r="B124" s="81"/>
      <c r="C124" s="81"/>
      <c r="D124" s="81"/>
      <c r="E124" s="81"/>
      <c r="F124" s="81"/>
      <c r="G124" s="81"/>
      <c r="H124" s="82"/>
    </row>
    <row r="125" spans="1:8" x14ac:dyDescent="0.2">
      <c r="A125" s="80"/>
      <c r="B125" s="81"/>
      <c r="C125" s="81"/>
      <c r="D125" s="81"/>
      <c r="E125" s="81"/>
      <c r="F125" s="81"/>
      <c r="G125" s="81"/>
      <c r="H125" s="82"/>
    </row>
    <row r="126" spans="1:8" x14ac:dyDescent="0.2">
      <c r="A126" s="80"/>
      <c r="B126" s="81"/>
      <c r="C126" s="81"/>
      <c r="D126" s="81"/>
      <c r="E126" s="81"/>
      <c r="F126" s="81"/>
      <c r="G126" s="81"/>
      <c r="H126" s="82"/>
    </row>
    <row r="127" spans="1:8" x14ac:dyDescent="0.2">
      <c r="A127" s="80"/>
      <c r="B127" s="81"/>
      <c r="C127" s="81"/>
      <c r="D127" s="81"/>
      <c r="E127" s="81"/>
      <c r="F127" s="81"/>
      <c r="G127" s="81"/>
      <c r="H127" s="82"/>
    </row>
    <row r="128" spans="1:8" x14ac:dyDescent="0.2">
      <c r="A128" s="80"/>
      <c r="B128" s="81"/>
      <c r="C128" s="81"/>
      <c r="D128" s="81"/>
      <c r="E128" s="81"/>
      <c r="F128" s="81"/>
      <c r="G128" s="81"/>
      <c r="H128" s="82"/>
    </row>
    <row r="129" spans="1:8" x14ac:dyDescent="0.2">
      <c r="A129" s="80"/>
      <c r="B129" s="81"/>
      <c r="C129" s="81"/>
      <c r="D129" s="81"/>
      <c r="E129" s="81"/>
      <c r="F129" s="81"/>
      <c r="G129" s="81"/>
      <c r="H129" s="82"/>
    </row>
    <row r="130" spans="1:8" x14ac:dyDescent="0.2">
      <c r="A130" s="88"/>
      <c r="B130" s="89"/>
      <c r="C130" s="89"/>
      <c r="D130" s="89"/>
      <c r="E130" s="89"/>
      <c r="F130" s="89"/>
      <c r="G130" s="89"/>
      <c r="H130" s="90"/>
    </row>
    <row r="131" spans="1:8" ht="13.15" customHeight="1" thickBot="1" x14ac:dyDescent="0.25">
      <c r="A131" s="70"/>
      <c r="B131" s="63"/>
      <c r="C131" s="63"/>
      <c r="D131" s="63"/>
      <c r="E131" s="63"/>
      <c r="F131" s="63"/>
      <c r="G131" s="63"/>
      <c r="H131" s="64"/>
    </row>
    <row r="132" spans="1:8" ht="13.15" customHeight="1" thickBot="1" x14ac:dyDescent="0.25">
      <c r="A132" s="75"/>
      <c r="B132" s="77"/>
      <c r="C132" s="77"/>
      <c r="D132" s="77"/>
      <c r="E132" s="77"/>
      <c r="F132" s="77"/>
      <c r="G132" s="77"/>
      <c r="H132" s="76"/>
    </row>
    <row r="133" spans="1:8" x14ac:dyDescent="0.2">
      <c r="A133" s="71" t="s">
        <v>33</v>
      </c>
      <c r="B133" s="78"/>
      <c r="C133" s="78"/>
      <c r="D133" s="78"/>
      <c r="E133" s="78"/>
      <c r="F133" s="198" t="str">
        <f>$B$14</f>
        <v>LOC00</v>
      </c>
      <c r="G133" s="203"/>
      <c r="H133" s="72"/>
    </row>
    <row r="134" spans="1:8" x14ac:dyDescent="0.2">
      <c r="A134" s="85"/>
      <c r="B134" s="86"/>
      <c r="C134" s="86"/>
      <c r="D134" s="86"/>
      <c r="E134" s="86"/>
      <c r="F134" s="81"/>
      <c r="G134" s="81"/>
      <c r="H134" s="87"/>
    </row>
    <row r="135" spans="1:8" x14ac:dyDescent="0.2">
      <c r="A135" s="80"/>
      <c r="B135" s="81"/>
      <c r="C135" s="81"/>
      <c r="D135" s="81"/>
      <c r="E135" s="81"/>
      <c r="F135" s="81"/>
      <c r="G135" s="81"/>
      <c r="H135" s="82"/>
    </row>
    <row r="136" spans="1:8" x14ac:dyDescent="0.2">
      <c r="A136" s="80"/>
      <c r="B136" s="81"/>
      <c r="C136" s="81"/>
      <c r="D136" s="81"/>
      <c r="E136" s="81"/>
      <c r="F136" s="81"/>
      <c r="G136" s="81"/>
      <c r="H136" s="82"/>
    </row>
    <row r="137" spans="1:8" x14ac:dyDescent="0.2">
      <c r="A137" s="80"/>
      <c r="B137" s="81"/>
      <c r="C137" s="81"/>
      <c r="D137" s="81"/>
      <c r="E137" s="81"/>
      <c r="F137" s="81"/>
      <c r="G137" s="81"/>
      <c r="H137" s="82"/>
    </row>
    <row r="138" spans="1:8" x14ac:dyDescent="0.2">
      <c r="A138" s="80"/>
      <c r="B138" s="81"/>
      <c r="C138" s="81"/>
      <c r="D138" s="81"/>
      <c r="E138" s="81"/>
      <c r="F138" s="81"/>
      <c r="G138" s="81"/>
      <c r="H138" s="82"/>
    </row>
    <row r="139" spans="1:8" x14ac:dyDescent="0.2">
      <c r="A139" s="80"/>
      <c r="B139" s="81"/>
      <c r="C139" s="81"/>
      <c r="D139" s="81"/>
      <c r="E139" s="81"/>
      <c r="F139" s="81"/>
      <c r="G139" s="81"/>
      <c r="H139" s="82"/>
    </row>
    <row r="140" spans="1:8" x14ac:dyDescent="0.2">
      <c r="A140" s="80"/>
      <c r="B140" s="81"/>
      <c r="C140" s="81"/>
      <c r="D140" s="81"/>
      <c r="E140" s="81"/>
      <c r="F140" s="81"/>
      <c r="G140" s="81"/>
      <c r="H140" s="82"/>
    </row>
    <row r="141" spans="1:8" x14ac:dyDescent="0.2">
      <c r="A141" s="80"/>
      <c r="B141" s="81"/>
      <c r="C141" s="81"/>
      <c r="D141" s="81"/>
      <c r="E141" s="81"/>
      <c r="F141" s="81"/>
      <c r="G141" s="81"/>
      <c r="H141" s="82"/>
    </row>
    <row r="142" spans="1:8" x14ac:dyDescent="0.2">
      <c r="A142" s="80"/>
      <c r="B142" s="81"/>
      <c r="C142" s="81"/>
      <c r="D142" s="81"/>
      <c r="E142" s="81"/>
      <c r="F142" s="81"/>
      <c r="G142" s="81"/>
      <c r="H142" s="82"/>
    </row>
    <row r="143" spans="1:8" x14ac:dyDescent="0.2">
      <c r="A143" s="80"/>
      <c r="B143" s="81"/>
      <c r="C143" s="81"/>
      <c r="D143" s="81"/>
      <c r="E143" s="81"/>
      <c r="F143" s="81"/>
      <c r="G143" s="81"/>
      <c r="H143" s="82"/>
    </row>
    <row r="144" spans="1:8" x14ac:dyDescent="0.2">
      <c r="A144" s="80"/>
      <c r="B144" s="81"/>
      <c r="C144" s="81"/>
      <c r="D144" s="81"/>
      <c r="E144" s="81"/>
      <c r="F144" s="81"/>
      <c r="G144" s="81"/>
      <c r="H144" s="82"/>
    </row>
    <row r="145" spans="1:8" x14ac:dyDescent="0.2">
      <c r="A145" s="80"/>
      <c r="B145" s="81"/>
      <c r="C145" s="81"/>
      <c r="D145" s="81"/>
      <c r="E145" s="81"/>
      <c r="F145" s="81"/>
      <c r="G145" s="81"/>
      <c r="H145" s="82"/>
    </row>
    <row r="146" spans="1:8" x14ac:dyDescent="0.2">
      <c r="A146" s="80"/>
      <c r="B146" s="81"/>
      <c r="C146" s="81"/>
      <c r="D146" s="81"/>
      <c r="E146" s="81"/>
      <c r="F146" s="81"/>
      <c r="G146" s="81"/>
      <c r="H146" s="82"/>
    </row>
    <row r="147" spans="1:8" x14ac:dyDescent="0.2">
      <c r="A147" s="80"/>
      <c r="B147" s="81"/>
      <c r="C147" s="81"/>
      <c r="D147" s="81"/>
      <c r="E147" s="81"/>
      <c r="F147" s="81"/>
      <c r="G147" s="81"/>
      <c r="H147" s="82"/>
    </row>
    <row r="148" spans="1:8" x14ac:dyDescent="0.2">
      <c r="A148" s="80"/>
      <c r="B148" s="81"/>
      <c r="C148" s="81"/>
      <c r="D148" s="81"/>
      <c r="E148" s="81"/>
      <c r="F148" s="81"/>
      <c r="G148" s="81"/>
      <c r="H148" s="82"/>
    </row>
    <row r="149" spans="1:8" x14ac:dyDescent="0.2">
      <c r="A149" s="80"/>
      <c r="B149" s="81"/>
      <c r="C149" s="81"/>
      <c r="D149" s="81"/>
      <c r="E149" s="81"/>
      <c r="F149" s="81"/>
      <c r="G149" s="81"/>
      <c r="H149" s="82"/>
    </row>
    <row r="150" spans="1:8" x14ac:dyDescent="0.2">
      <c r="A150" s="80"/>
      <c r="B150" s="81"/>
      <c r="C150" s="81"/>
      <c r="D150" s="81"/>
      <c r="E150" s="81"/>
      <c r="F150" s="81"/>
      <c r="G150" s="81"/>
      <c r="H150" s="82"/>
    </row>
    <row r="151" spans="1:8" x14ac:dyDescent="0.2">
      <c r="A151" s="80"/>
      <c r="B151" s="81"/>
      <c r="C151" s="81"/>
      <c r="D151" s="81"/>
      <c r="E151" s="81"/>
      <c r="F151" s="81"/>
      <c r="G151" s="81"/>
      <c r="H151" s="82"/>
    </row>
    <row r="152" spans="1:8" x14ac:dyDescent="0.2">
      <c r="A152" s="80"/>
      <c r="B152" s="81"/>
      <c r="C152" s="81"/>
      <c r="D152" s="81"/>
      <c r="E152" s="81"/>
      <c r="F152" s="81"/>
      <c r="G152" s="81"/>
      <c r="H152" s="82"/>
    </row>
    <row r="153" spans="1:8" x14ac:dyDescent="0.2">
      <c r="A153" s="80"/>
      <c r="B153" s="81"/>
      <c r="C153" s="81"/>
      <c r="D153" s="81"/>
      <c r="E153" s="81"/>
      <c r="F153" s="81"/>
      <c r="G153" s="81"/>
      <c r="H153" s="82"/>
    </row>
    <row r="154" spans="1:8" x14ac:dyDescent="0.2">
      <c r="A154" s="80"/>
      <c r="B154" s="81"/>
      <c r="C154" s="81"/>
      <c r="D154" s="81"/>
      <c r="E154" s="81"/>
      <c r="F154" s="81"/>
      <c r="G154" s="81"/>
      <c r="H154" s="82"/>
    </row>
    <row r="155" spans="1:8" x14ac:dyDescent="0.2">
      <c r="A155" s="80"/>
      <c r="B155" s="81"/>
      <c r="C155" s="81"/>
      <c r="D155" s="81"/>
      <c r="E155" s="81"/>
      <c r="F155" s="81"/>
      <c r="G155" s="81"/>
      <c r="H155" s="82"/>
    </row>
    <row r="156" spans="1:8" x14ac:dyDescent="0.2">
      <c r="A156" s="80"/>
      <c r="B156" s="81"/>
      <c r="C156" s="81"/>
      <c r="D156" s="81"/>
      <c r="E156" s="81"/>
      <c r="F156" s="81"/>
      <c r="G156" s="81"/>
      <c r="H156" s="82"/>
    </row>
    <row r="157" spans="1:8" x14ac:dyDescent="0.2">
      <c r="A157" s="80"/>
      <c r="B157" s="81"/>
      <c r="C157" s="81"/>
      <c r="D157" s="81"/>
      <c r="E157" s="81"/>
      <c r="F157" s="81"/>
      <c r="G157" s="81"/>
      <c r="H157" s="82"/>
    </row>
    <row r="158" spans="1:8" x14ac:dyDescent="0.2">
      <c r="A158" s="80"/>
      <c r="B158" s="81"/>
      <c r="C158" s="81"/>
      <c r="D158" s="81"/>
      <c r="E158" s="81"/>
      <c r="F158" s="81"/>
      <c r="G158" s="81"/>
      <c r="H158" s="82"/>
    </row>
    <row r="159" spans="1:8" x14ac:dyDescent="0.2">
      <c r="A159" s="80"/>
      <c r="B159" s="81"/>
      <c r="C159" s="81"/>
      <c r="D159" s="81"/>
      <c r="E159" s="81"/>
      <c r="F159" s="81"/>
      <c r="G159" s="81"/>
      <c r="H159" s="82"/>
    </row>
    <row r="160" spans="1:8" x14ac:dyDescent="0.2">
      <c r="A160" s="80"/>
      <c r="B160" s="81"/>
      <c r="C160" s="81"/>
      <c r="D160" s="81"/>
      <c r="E160" s="81"/>
      <c r="F160" s="81"/>
      <c r="G160" s="81"/>
      <c r="H160" s="82"/>
    </row>
    <row r="161" spans="1:8" x14ac:dyDescent="0.2">
      <c r="A161" s="80"/>
      <c r="B161" s="81"/>
      <c r="C161" s="81"/>
      <c r="D161" s="81"/>
      <c r="E161" s="81"/>
      <c r="F161" s="81"/>
      <c r="G161" s="81"/>
      <c r="H161" s="82"/>
    </row>
    <row r="162" spans="1:8" x14ac:dyDescent="0.2">
      <c r="A162" s="80"/>
      <c r="B162" s="81"/>
      <c r="C162" s="81"/>
      <c r="D162" s="81"/>
      <c r="E162" s="81"/>
      <c r="F162" s="81"/>
      <c r="G162" s="81"/>
      <c r="H162" s="82"/>
    </row>
    <row r="163" spans="1:8" x14ac:dyDescent="0.2">
      <c r="A163" s="80"/>
      <c r="B163" s="81"/>
      <c r="C163" s="81"/>
      <c r="D163" s="81"/>
      <c r="E163" s="81"/>
      <c r="F163" s="81"/>
      <c r="G163" s="81"/>
      <c r="H163" s="82"/>
    </row>
    <row r="164" spans="1:8" x14ac:dyDescent="0.2">
      <c r="A164" s="80"/>
      <c r="B164" s="81"/>
      <c r="C164" s="81"/>
      <c r="D164" s="81"/>
      <c r="E164" s="81"/>
      <c r="F164" s="81"/>
      <c r="G164" s="81"/>
      <c r="H164" s="82"/>
    </row>
    <row r="165" spans="1:8" x14ac:dyDescent="0.2">
      <c r="A165" s="80"/>
      <c r="B165" s="81"/>
      <c r="C165" s="81"/>
      <c r="D165" s="81"/>
      <c r="E165" s="81"/>
      <c r="F165" s="81"/>
      <c r="G165" s="81"/>
      <c r="H165" s="82"/>
    </row>
    <row r="166" spans="1:8" x14ac:dyDescent="0.2">
      <c r="A166" s="80"/>
      <c r="B166" s="81"/>
      <c r="C166" s="81"/>
      <c r="D166" s="81"/>
      <c r="E166" s="81"/>
      <c r="F166" s="81"/>
      <c r="G166" s="81"/>
      <c r="H166" s="82"/>
    </row>
    <row r="167" spans="1:8" x14ac:dyDescent="0.2">
      <c r="A167" s="80"/>
      <c r="B167" s="81"/>
      <c r="C167" s="81"/>
      <c r="D167" s="81"/>
      <c r="E167" s="81"/>
      <c r="F167" s="81"/>
      <c r="G167" s="81"/>
      <c r="H167" s="82"/>
    </row>
    <row r="168" spans="1:8" x14ac:dyDescent="0.2">
      <c r="A168" s="80"/>
      <c r="B168" s="81"/>
      <c r="C168" s="81"/>
      <c r="D168" s="81"/>
      <c r="E168" s="81"/>
      <c r="F168" s="81"/>
      <c r="G168" s="81"/>
      <c r="H168" s="82"/>
    </row>
    <row r="169" spans="1:8" x14ac:dyDescent="0.2">
      <c r="A169" s="80"/>
      <c r="B169" s="81"/>
      <c r="C169" s="81"/>
      <c r="D169" s="81"/>
      <c r="E169" s="81"/>
      <c r="F169" s="81"/>
      <c r="G169" s="81"/>
      <c r="H169" s="82"/>
    </row>
    <row r="170" spans="1:8" x14ac:dyDescent="0.2">
      <c r="A170" s="80"/>
      <c r="B170" s="81"/>
      <c r="C170" s="81"/>
      <c r="D170" s="81"/>
      <c r="E170" s="81"/>
      <c r="F170" s="81"/>
      <c r="G170" s="81"/>
      <c r="H170" s="82"/>
    </row>
    <row r="171" spans="1:8" x14ac:dyDescent="0.2">
      <c r="A171" s="80"/>
      <c r="B171" s="81"/>
      <c r="C171" s="81"/>
      <c r="D171" s="81"/>
      <c r="E171" s="81"/>
      <c r="F171" s="81"/>
      <c r="G171" s="81"/>
      <c r="H171" s="82"/>
    </row>
    <row r="172" spans="1:8" x14ac:dyDescent="0.2">
      <c r="A172" s="80"/>
      <c r="B172" s="81"/>
      <c r="C172" s="81"/>
      <c r="D172" s="81"/>
      <c r="E172" s="81"/>
      <c r="F172" s="81"/>
      <c r="G172" s="81"/>
      <c r="H172" s="82"/>
    </row>
    <row r="173" spans="1:8" x14ac:dyDescent="0.2">
      <c r="A173" s="80"/>
      <c r="B173" s="81"/>
      <c r="C173" s="81"/>
      <c r="D173" s="81"/>
      <c r="E173" s="81"/>
      <c r="F173" s="81"/>
      <c r="G173" s="81"/>
      <c r="H173" s="82"/>
    </row>
    <row r="174" spans="1:8" x14ac:dyDescent="0.2">
      <c r="A174" s="80"/>
      <c r="B174" s="81"/>
      <c r="C174" s="81"/>
      <c r="D174" s="81"/>
      <c r="E174" s="81"/>
      <c r="F174" s="81"/>
      <c r="G174" s="81"/>
      <c r="H174" s="82"/>
    </row>
    <row r="175" spans="1:8" x14ac:dyDescent="0.2">
      <c r="A175" s="80"/>
      <c r="B175" s="81"/>
      <c r="C175" s="81"/>
      <c r="D175" s="81"/>
      <c r="E175" s="81"/>
      <c r="F175" s="81"/>
      <c r="G175" s="81"/>
      <c r="H175" s="82"/>
    </row>
    <row r="176" spans="1:8" x14ac:dyDescent="0.2">
      <c r="A176" s="80"/>
      <c r="B176" s="81"/>
      <c r="C176" s="81"/>
      <c r="D176" s="81"/>
      <c r="E176" s="81"/>
      <c r="F176" s="81"/>
      <c r="G176" s="81"/>
      <c r="H176" s="82"/>
    </row>
    <row r="177" spans="1:8" x14ac:dyDescent="0.2">
      <c r="A177" s="80"/>
      <c r="B177" s="81"/>
      <c r="C177" s="81"/>
      <c r="D177" s="81"/>
      <c r="E177" s="81"/>
      <c r="F177" s="81"/>
      <c r="G177" s="81"/>
      <c r="H177" s="82"/>
    </row>
    <row r="178" spans="1:8" x14ac:dyDescent="0.2">
      <c r="A178" s="80"/>
      <c r="B178" s="81"/>
      <c r="C178" s="81"/>
      <c r="D178" s="81"/>
      <c r="E178" s="81"/>
      <c r="F178" s="81"/>
      <c r="G178" s="81"/>
      <c r="H178" s="82"/>
    </row>
    <row r="179" spans="1:8" x14ac:dyDescent="0.2">
      <c r="A179" s="80"/>
      <c r="B179" s="81"/>
      <c r="C179" s="81"/>
      <c r="D179" s="81"/>
      <c r="E179" s="81"/>
      <c r="F179" s="81"/>
      <c r="G179" s="81"/>
      <c r="H179" s="82"/>
    </row>
    <row r="180" spans="1:8" x14ac:dyDescent="0.2">
      <c r="A180" s="80"/>
      <c r="B180" s="81"/>
      <c r="C180" s="81"/>
      <c r="D180" s="81"/>
      <c r="E180" s="81"/>
      <c r="F180" s="81"/>
      <c r="G180" s="81"/>
      <c r="H180" s="82"/>
    </row>
    <row r="181" spans="1:8" x14ac:dyDescent="0.2">
      <c r="A181" s="80"/>
      <c r="B181" s="81"/>
      <c r="C181" s="81"/>
      <c r="D181" s="81"/>
      <c r="E181" s="81"/>
      <c r="F181" s="81"/>
      <c r="G181" s="81"/>
      <c r="H181" s="82"/>
    </row>
    <row r="182" spans="1:8" x14ac:dyDescent="0.2">
      <c r="A182" s="80"/>
      <c r="B182" s="81"/>
      <c r="C182" s="81"/>
      <c r="D182" s="81"/>
      <c r="E182" s="81"/>
      <c r="F182" s="81"/>
      <c r="G182" s="81"/>
      <c r="H182" s="82"/>
    </row>
    <row r="183" spans="1:8" x14ac:dyDescent="0.2">
      <c r="A183" s="80"/>
      <c r="B183" s="81"/>
      <c r="C183" s="81"/>
      <c r="D183" s="81"/>
      <c r="E183" s="81"/>
      <c r="F183" s="81"/>
      <c r="G183" s="81"/>
      <c r="H183" s="82"/>
    </row>
    <row r="184" spans="1:8" ht="13.15" customHeight="1" thickBot="1" x14ac:dyDescent="0.25">
      <c r="A184" s="91"/>
      <c r="B184" s="83"/>
      <c r="C184" s="83"/>
      <c r="D184" s="83"/>
      <c r="E184" s="83"/>
      <c r="F184" s="83"/>
      <c r="G184" s="83"/>
      <c r="H184" s="84"/>
    </row>
    <row r="185" spans="1:8" x14ac:dyDescent="0.2">
      <c r="A185" s="73" t="s">
        <v>44</v>
      </c>
      <c r="B185" s="79"/>
      <c r="C185" s="79"/>
      <c r="D185" s="79"/>
      <c r="E185" s="79"/>
      <c r="F185" s="79"/>
      <c r="G185" s="79"/>
      <c r="H185" s="74"/>
    </row>
    <row r="186" spans="1:8" x14ac:dyDescent="0.2">
      <c r="A186" s="85"/>
      <c r="B186" s="86"/>
      <c r="C186" s="86"/>
      <c r="D186" s="86"/>
      <c r="E186" s="86"/>
      <c r="F186" s="86"/>
      <c r="G186" s="86"/>
      <c r="H186" s="87"/>
    </row>
    <row r="187" spans="1:8" x14ac:dyDescent="0.2">
      <c r="A187" s="80"/>
      <c r="B187" s="81"/>
      <c r="C187" s="81"/>
      <c r="D187" s="81"/>
      <c r="E187" s="81"/>
      <c r="F187" s="81"/>
      <c r="G187" s="81"/>
      <c r="H187" s="82"/>
    </row>
    <row r="188" spans="1:8" x14ac:dyDescent="0.2">
      <c r="A188" s="80"/>
      <c r="B188" s="81"/>
      <c r="C188" s="81"/>
      <c r="D188" s="81"/>
      <c r="E188" s="81"/>
      <c r="F188" s="81"/>
      <c r="G188" s="81"/>
      <c r="H188" s="82"/>
    </row>
    <row r="189" spans="1:8" x14ac:dyDescent="0.2">
      <c r="A189" s="80"/>
      <c r="B189" s="81"/>
      <c r="C189" s="81"/>
      <c r="D189" s="81"/>
      <c r="E189" s="81"/>
      <c r="F189" s="81"/>
      <c r="G189" s="81"/>
      <c r="H189" s="82"/>
    </row>
    <row r="190" spans="1:8" x14ac:dyDescent="0.2">
      <c r="A190" s="80"/>
      <c r="B190" s="81"/>
      <c r="C190" s="81"/>
      <c r="D190" s="81"/>
      <c r="E190" s="81"/>
      <c r="F190" s="81"/>
      <c r="G190" s="81"/>
      <c r="H190" s="82"/>
    </row>
    <row r="191" spans="1:8" x14ac:dyDescent="0.2">
      <c r="A191" s="80"/>
      <c r="B191" s="81"/>
      <c r="C191" s="81"/>
      <c r="D191" s="81"/>
      <c r="E191" s="81"/>
      <c r="F191" s="81"/>
      <c r="G191" s="81"/>
      <c r="H191" s="82"/>
    </row>
    <row r="192" spans="1:8" x14ac:dyDescent="0.2">
      <c r="A192" s="80"/>
      <c r="B192" s="81"/>
      <c r="C192" s="81"/>
      <c r="D192" s="81"/>
      <c r="E192" s="81"/>
      <c r="F192" s="81"/>
      <c r="G192" s="81"/>
      <c r="H192" s="82"/>
    </row>
    <row r="193" spans="1:8" x14ac:dyDescent="0.2">
      <c r="A193" s="80"/>
      <c r="B193" s="81"/>
      <c r="C193" s="81"/>
      <c r="D193" s="81"/>
      <c r="E193" s="81"/>
      <c r="F193" s="81"/>
      <c r="G193" s="81"/>
      <c r="H193" s="82"/>
    </row>
    <row r="194" spans="1:8" x14ac:dyDescent="0.2">
      <c r="A194" s="80"/>
      <c r="B194" s="81"/>
      <c r="C194" s="81"/>
      <c r="D194" s="81"/>
      <c r="E194" s="81"/>
      <c r="F194" s="81"/>
      <c r="G194" s="81"/>
      <c r="H194" s="82"/>
    </row>
    <row r="195" spans="1:8" x14ac:dyDescent="0.2">
      <c r="A195" s="80"/>
      <c r="B195" s="81"/>
      <c r="C195" s="81"/>
      <c r="D195" s="81"/>
      <c r="E195" s="81"/>
      <c r="F195" s="81"/>
      <c r="G195" s="81"/>
      <c r="H195" s="82"/>
    </row>
    <row r="196" spans="1:8" x14ac:dyDescent="0.2">
      <c r="A196" s="88"/>
      <c r="B196" s="89"/>
      <c r="C196" s="89"/>
      <c r="D196" s="89"/>
      <c r="E196" s="89"/>
      <c r="F196" s="89"/>
      <c r="G196" s="89"/>
      <c r="H196" s="90"/>
    </row>
    <row r="197" spans="1:8" ht="13.15" customHeight="1" thickBot="1" x14ac:dyDescent="0.25">
      <c r="A197" s="70"/>
      <c r="B197" s="63"/>
      <c r="C197" s="63"/>
      <c r="D197" s="63"/>
      <c r="E197" s="63"/>
      <c r="F197" s="63"/>
      <c r="G197" s="63"/>
      <c r="H197" s="64"/>
    </row>
    <row r="198" spans="1:8" ht="13.15" customHeight="1" thickBot="1" x14ac:dyDescent="0.25">
      <c r="A198" s="75"/>
      <c r="B198" s="77"/>
      <c r="C198" s="77"/>
      <c r="D198" s="77"/>
      <c r="E198" s="77"/>
      <c r="F198" s="77"/>
      <c r="G198" s="77"/>
      <c r="H198" s="76"/>
    </row>
    <row r="259" ht="13.15" customHeight="1" x14ac:dyDescent="0.2"/>
    <row r="271" ht="13.15" customHeight="1" x14ac:dyDescent="0.2"/>
    <row r="272" ht="13.15" customHeight="1" x14ac:dyDescent="0.2"/>
    <row r="333" ht="13.15" customHeight="1" x14ac:dyDescent="0.2"/>
    <row r="337" ht="13.15" customHeight="1" x14ac:dyDescent="0.2"/>
    <row r="338" ht="13.15" customHeight="1" x14ac:dyDescent="0.2"/>
  </sheetData>
  <mergeCells count="30">
    <mergeCell ref="B1:C1"/>
    <mergeCell ref="D1:E1"/>
    <mergeCell ref="F1:G1"/>
    <mergeCell ref="E2:H2"/>
    <mergeCell ref="E8:F8"/>
    <mergeCell ref="G8:H8"/>
    <mergeCell ref="B21:D21"/>
    <mergeCell ref="B14:D14"/>
    <mergeCell ref="G14:H14"/>
    <mergeCell ref="A15:B15"/>
    <mergeCell ref="C15:D15"/>
    <mergeCell ref="G15:H15"/>
    <mergeCell ref="A16:B16"/>
    <mergeCell ref="C16:D16"/>
    <mergeCell ref="E16:F16"/>
    <mergeCell ref="A17:B17"/>
    <mergeCell ref="B19:D19"/>
    <mergeCell ref="F19:H19"/>
    <mergeCell ref="B20:D20"/>
    <mergeCell ref="F20:H20"/>
    <mergeCell ref="E29:G29"/>
    <mergeCell ref="E30:G30"/>
    <mergeCell ref="F67:G67"/>
    <mergeCell ref="F133:G133"/>
    <mergeCell ref="F23:H23"/>
    <mergeCell ref="F24:H24"/>
    <mergeCell ref="F25:H25"/>
    <mergeCell ref="B26:H26"/>
    <mergeCell ref="F27:H27"/>
    <mergeCell ref="F28:H28"/>
  </mergeCells>
  <conditionalFormatting sqref="C23:C25 F23:F25 C27:C28 H29:H30 B33">
    <cfRule type="cellIs" dxfId="7" priority="5" operator="equal">
      <formula>"~keuze~"</formula>
    </cfRule>
  </conditionalFormatting>
  <conditionalFormatting sqref="C23:C25 F23:F25 C27:C28 H29:H30">
    <cfRule type="containsText" dxfId="6" priority="6" operator="containsText" text="misschien">
      <formula>NOT(ISERROR(SEARCH("misschien",C23)))</formula>
    </cfRule>
    <cfRule type="containsText" dxfId="5" priority="7" operator="containsText" text="ja">
      <formula>NOT(ISERROR(SEARCH("ja",C23)))</formula>
    </cfRule>
    <cfRule type="containsText" dxfId="4" priority="8" operator="containsText" text="nee">
      <formula>NOT(ISERROR(SEARCH("nee",C23)))</formula>
    </cfRule>
  </conditionalFormatting>
  <conditionalFormatting sqref="F27:F28">
    <cfRule type="cellIs" dxfId="3" priority="1" operator="equal">
      <formula>"~keuze~"</formula>
    </cfRule>
    <cfRule type="containsText" dxfId="2" priority="2" operator="containsText" text="misschien">
      <formula>NOT(ISERROR(SEARCH("misschien",F27)))</formula>
    </cfRule>
    <cfRule type="containsText" dxfId="1" priority="3" operator="containsText" text="ja">
      <formula>NOT(ISERROR(SEARCH("ja",F27)))</formula>
    </cfRule>
    <cfRule type="containsText" dxfId="0" priority="4" operator="containsText" text="nee">
      <formula>NOT(ISERROR(SEARCH("nee",F27)))</formula>
    </cfRule>
  </conditionalFormatting>
  <hyperlinks>
    <hyperlink ref="A15" location="Projectblad!A236" display="Maximale loopafstand:" xr:uid="{553CB060-C4A4-4880-8346-1F110A609114}"/>
    <hyperlink ref="A16" location="Projectblad!A156" display="Coordinaten (rijksdriehoek)" xr:uid="{E7B98171-9234-4C73-BB40-26F6FF1FC60B}"/>
    <hyperlink ref="A17" location="Projectblad!A156" display="Coördinaten (DD.dddddd° notatie)" xr:uid="{A4FAB831-3C3C-449C-8229-89BECA88DF19}"/>
  </hyperlinks>
  <pageMargins left="0.70866141732283472" right="0.70866141732283472" top="0.74803149606299213" bottom="0.74803149606299213" header="0.31496062992125978" footer="0.55118110236220474"/>
  <pageSetup paperSize="9" scale="76" fitToHeight="0" orientation="portrait" r:id="rId1"/>
  <headerFooter>
    <oddHeader>&amp;R&amp;8 Afdrukdatum: &amp;D</oddHeader>
    <oddFooter>&amp;CBlad &amp;P van &amp;N</oddFooter>
  </headerFooter>
  <rowBreaks count="3" manualBreakCount="3">
    <brk id="66" max="16383" man="1"/>
    <brk id="132" max="16383" man="1"/>
    <brk id="198" max="16383" man="1"/>
  </rowBreak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4922C72D-00EC-4AFC-8043-B508481EAEB7}">
          <x14:formula1>
            <xm:f>Blad2!$I$7:$I$33</xm:f>
          </x14:formula1>
          <xm:sqref>G3:G7 C3:C7</xm:sqref>
        </x14:dataValidation>
        <x14:dataValidation type="list" allowBlank="1" showInputMessage="1" showErrorMessage="1" xr:uid="{E4B5D60E-7C38-474C-BBC5-4D7B316F94DF}">
          <x14:formula1>
            <xm:f>Blad2!$A$48:$A$50</xm:f>
          </x14:formula1>
          <xm:sqref>F3:F7 F9:F13</xm:sqref>
        </x14:dataValidation>
        <x14:dataValidation type="list" allowBlank="1" showInputMessage="1" showErrorMessage="1" xr:uid="{7469C799-B75E-44E0-8CC2-AEFFEB7C9F36}">
          <x14:formula1>
            <xm:f>Blad2!$A$45:$A$47</xm:f>
          </x14:formula1>
          <xm:sqref>D9:D13 H9:H13</xm:sqref>
        </x14:dataValidation>
        <x14:dataValidation type="list" allowBlank="1" showInputMessage="1" showErrorMessage="1" xr:uid="{CCDCE8BA-98B0-467D-8868-E926AC7B31D1}">
          <x14:formula1>
            <xm:f>Blad2!$A$39:$A$43</xm:f>
          </x14:formula1>
          <xm:sqref>D3:D7 H3:H7</xm:sqref>
        </x14:dataValidation>
        <x14:dataValidation type="list" allowBlank="1" showInputMessage="1" showErrorMessage="1" xr:uid="{56F5C627-B945-4F81-8A3F-C111CE8046F0}">
          <x14:formula1>
            <xm:f>Blad2!$A$34:$A$37</xm:f>
          </x14:formula1>
          <xm:sqref>B40</xm:sqref>
        </x14:dataValidation>
        <x14:dataValidation type="list" allowBlank="1" showInputMessage="1" showErrorMessage="1" xr:uid="{D6735BEC-2139-4C32-BB36-49E8B26C366B}">
          <x14:formula1>
            <xm:f>Blad2!$A$29:$A$32</xm:f>
          </x14:formula1>
          <xm:sqref>B36</xm:sqref>
        </x14:dataValidation>
        <x14:dataValidation type="list" allowBlank="1" showInputMessage="1" showErrorMessage="1" xr:uid="{FDCE94B7-5D85-480B-81D2-29F8ED9615DE}">
          <x14:formula1>
            <xm:f>Blad2!$A$19:$A$21</xm:f>
          </x14:formula1>
          <xm:sqref>E27</xm:sqref>
        </x14:dataValidation>
        <x14:dataValidation type="list" allowBlank="1" showInputMessage="1" showErrorMessage="1" xr:uid="{8FC8992D-3EBF-4733-9CA7-84F35472C499}">
          <x14:formula1>
            <xm:f>Blad2!$A$10:$A$14</xm:f>
          </x14:formula1>
          <xm:sqref>E25</xm:sqref>
        </x14:dataValidation>
        <x14:dataValidation type="list" allowBlank="1" showInputMessage="1" showErrorMessage="1" xr:uid="{683EB73E-3A1B-46D9-8F8F-63C9BA394973}">
          <x14:formula1>
            <xm:f>Blad2!$A$7:$A$9</xm:f>
          </x14:formula1>
          <xm:sqref>E24</xm:sqref>
        </x14:dataValidation>
        <x14:dataValidation type="list" allowBlank="1" showInputMessage="1" showErrorMessage="1" xr:uid="{FBF675E7-F0A9-40CA-B65C-EAEC0CA6549A}">
          <x14:formula1>
            <xm:f>Blad2!$A$1:$A$7</xm:f>
          </x14:formula1>
          <xm:sqref>E23</xm:sqref>
        </x14:dataValidation>
        <x14:dataValidation type="list" allowBlank="1" showInputMessage="1" showErrorMessage="1" xr:uid="{A94A2A6B-79CC-4714-B503-0B3E9AFAAB75}">
          <x14:formula1>
            <xm:f>Blad2!$A$24:$A$27</xm:f>
          </x14:formula1>
          <xm:sqref>D27 D23:D25</xm:sqref>
        </x14:dataValidation>
        <x14:dataValidation type="list" allowBlank="1" showInputMessage="1" showErrorMessage="1" xr:uid="{1B237193-9F06-40C5-BA65-F6785A69BD5F}">
          <x14:formula1>
            <xm:f>Blad2!$A$24:$A$26</xm:f>
          </x14:formula1>
          <xm:sqref>D28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L22"/>
  <sheetViews>
    <sheetView workbookViewId="0">
      <selection activeCell="C30" sqref="C30"/>
    </sheetView>
  </sheetViews>
  <sheetFormatPr defaultColWidth="9" defaultRowHeight="12.75" x14ac:dyDescent="0.2"/>
  <cols>
    <col min="1" max="1" width="10.25" customWidth="1"/>
    <col min="2" max="2" width="10.75" customWidth="1"/>
    <col min="3" max="3" width="10.625" style="31" bestFit="1" customWidth="1"/>
    <col min="4" max="4" width="15.5" style="31" customWidth="1"/>
    <col min="5" max="5" width="10.625" customWidth="1"/>
    <col min="6" max="6" width="15.375" customWidth="1"/>
    <col min="7" max="7" width="8.25" style="32" customWidth="1"/>
    <col min="8" max="8" width="9.625" customWidth="1"/>
    <col min="9" max="9" width="11.125" customWidth="1"/>
    <col min="10" max="10" width="8.75" style="32" customWidth="1"/>
    <col min="11" max="12" width="5.25" style="32" customWidth="1"/>
    <col min="13" max="13" width="8.25" style="32" bestFit="1" customWidth="1"/>
    <col min="14" max="14" width="9.625" style="32" bestFit="1" customWidth="1"/>
    <col min="15" max="15" width="13" style="32" customWidth="1"/>
    <col min="16" max="16" width="6.75" style="32" customWidth="1"/>
    <col min="17" max="18" width="7.375" style="32" customWidth="1"/>
    <col min="19" max="19" width="8.125" style="32" customWidth="1"/>
    <col min="20" max="20" width="9.875" style="32" customWidth="1"/>
    <col min="21" max="21" width="8.75" style="32" customWidth="1"/>
    <col min="22" max="22" width="12.625" style="32" customWidth="1"/>
    <col min="23" max="23" width="12.375" style="32" customWidth="1"/>
    <col min="24" max="25" width="9.125" customWidth="1"/>
    <col min="26" max="26" width="10" customWidth="1"/>
    <col min="27" max="27" width="10.875" bestFit="1" customWidth="1"/>
    <col min="28" max="28" width="12.125" customWidth="1"/>
    <col min="29" max="29" width="6.5" bestFit="1" customWidth="1"/>
    <col min="30" max="30" width="17" customWidth="1"/>
    <col min="31" max="31" width="21.25" customWidth="1"/>
    <col min="32" max="32" width="17.125" customWidth="1"/>
    <col min="33" max="34" width="9.875" customWidth="1"/>
    <col min="35" max="35" width="11.125" bestFit="1" customWidth="1"/>
    <col min="36" max="36" width="10.25" customWidth="1"/>
    <col min="37" max="37" width="13.25" bestFit="1" customWidth="1"/>
    <col min="38" max="38" width="14.625" customWidth="1"/>
  </cols>
  <sheetData>
    <row r="2" spans="1:38" ht="51" x14ac:dyDescent="0.2">
      <c r="A2" s="9" t="s">
        <v>49</v>
      </c>
      <c r="B2" s="9" t="s">
        <v>50</v>
      </c>
      <c r="C2" s="10" t="s">
        <v>51</v>
      </c>
      <c r="D2" s="11" t="s">
        <v>52</v>
      </c>
      <c r="E2" s="12" t="s">
        <v>53</v>
      </c>
      <c r="F2" s="12" t="s">
        <v>54</v>
      </c>
      <c r="G2" s="12" t="s">
        <v>22</v>
      </c>
      <c r="H2" s="12" t="s">
        <v>23</v>
      </c>
      <c r="I2" s="11" t="s">
        <v>55</v>
      </c>
      <c r="J2" s="12" t="s">
        <v>56</v>
      </c>
      <c r="K2" s="12" t="s">
        <v>57</v>
      </c>
      <c r="L2" s="12" t="s">
        <v>58</v>
      </c>
      <c r="M2" s="11" t="s">
        <v>59</v>
      </c>
      <c r="N2" s="11" t="s">
        <v>60</v>
      </c>
      <c r="O2" s="11" t="s">
        <v>61</v>
      </c>
      <c r="P2" s="12" t="s">
        <v>62</v>
      </c>
      <c r="Q2" s="12" t="s">
        <v>63</v>
      </c>
      <c r="R2" s="12" t="s">
        <v>64</v>
      </c>
      <c r="S2" s="12" t="s">
        <v>65</v>
      </c>
      <c r="T2" s="11" t="s">
        <v>66</v>
      </c>
      <c r="U2" s="11" t="s">
        <v>67</v>
      </c>
      <c r="V2" s="11" t="s">
        <v>68</v>
      </c>
      <c r="W2" s="13" t="s">
        <v>69</v>
      </c>
      <c r="X2" s="13" t="s">
        <v>70</v>
      </c>
      <c r="Y2" s="13" t="s">
        <v>71</v>
      </c>
      <c r="Z2" s="13" t="s">
        <v>72</v>
      </c>
      <c r="AA2" s="11" t="s">
        <v>73</v>
      </c>
      <c r="AB2" s="12" t="s">
        <v>74</v>
      </c>
      <c r="AC2" s="12" t="s">
        <v>75</v>
      </c>
      <c r="AD2" s="12" t="s">
        <v>76</v>
      </c>
      <c r="AE2" s="12" t="s">
        <v>77</v>
      </c>
      <c r="AF2" s="12" t="s">
        <v>78</v>
      </c>
      <c r="AG2" s="9" t="s">
        <v>79</v>
      </c>
      <c r="AH2" s="9" t="s">
        <v>80</v>
      </c>
      <c r="AI2" s="9" t="s">
        <v>81</v>
      </c>
      <c r="AJ2" s="9" t="s">
        <v>82</v>
      </c>
      <c r="AK2" s="12" t="s">
        <v>83</v>
      </c>
      <c r="AL2" s="12" t="s">
        <v>84</v>
      </c>
    </row>
    <row r="3" spans="1:38" x14ac:dyDescent="0.2">
      <c r="A3" s="14"/>
      <c r="B3" s="14"/>
      <c r="C3" s="15"/>
      <c r="D3" s="15"/>
      <c r="E3" s="16"/>
      <c r="F3" s="16"/>
      <c r="G3" s="17"/>
      <c r="H3" s="16"/>
      <c r="I3" s="16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6"/>
      <c r="Y3" s="16"/>
      <c r="Z3" s="16"/>
      <c r="AA3" s="16"/>
      <c r="AB3" s="16"/>
      <c r="AC3" s="16"/>
      <c r="AD3" s="16"/>
      <c r="AE3" s="16"/>
      <c r="AF3" s="16"/>
      <c r="AG3" s="14"/>
      <c r="AH3" s="14"/>
      <c r="AI3" s="16"/>
      <c r="AJ3" s="18"/>
      <c r="AK3" s="18"/>
      <c r="AL3" s="19"/>
    </row>
    <row r="4" spans="1:38" x14ac:dyDescent="0.2">
      <c r="A4" s="20"/>
      <c r="B4" s="20"/>
      <c r="C4" s="21"/>
      <c r="D4" s="21"/>
      <c r="E4" s="22"/>
      <c r="F4" s="22"/>
      <c r="G4" s="23"/>
      <c r="H4" s="24"/>
      <c r="I4" s="25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0"/>
      <c r="AH4" s="20"/>
      <c r="AI4" s="22"/>
      <c r="AJ4" s="22"/>
      <c r="AK4" s="26"/>
      <c r="AL4" s="22"/>
    </row>
    <row r="5" spans="1:38" x14ac:dyDescent="0.2">
      <c r="A5" s="20"/>
      <c r="B5" s="20"/>
      <c r="C5" s="21"/>
      <c r="D5" s="21"/>
      <c r="E5" s="22"/>
      <c r="F5" s="22"/>
      <c r="G5" s="23"/>
      <c r="H5" s="24"/>
      <c r="I5" s="25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0"/>
      <c r="AH5" s="20"/>
      <c r="AI5" s="22"/>
      <c r="AJ5" s="22"/>
      <c r="AK5" s="27"/>
      <c r="AL5" s="22"/>
    </row>
    <row r="6" spans="1:38" x14ac:dyDescent="0.2">
      <c r="A6" s="20"/>
      <c r="B6" s="20"/>
      <c r="C6" s="21"/>
      <c r="D6" s="21"/>
      <c r="E6" s="22"/>
      <c r="F6" s="22"/>
      <c r="G6" s="23"/>
      <c r="H6" s="24"/>
      <c r="I6" s="25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0"/>
      <c r="AH6" s="20"/>
      <c r="AI6" s="22"/>
      <c r="AJ6" s="22"/>
      <c r="AK6" s="29"/>
      <c r="AL6" s="22"/>
    </row>
    <row r="7" spans="1:38" x14ac:dyDescent="0.2">
      <c r="A7" s="20"/>
      <c r="B7" s="20"/>
      <c r="C7" s="21"/>
      <c r="D7" s="21"/>
      <c r="E7" s="22"/>
      <c r="F7" s="22"/>
      <c r="G7" s="23"/>
      <c r="H7" s="24"/>
      <c r="I7" s="25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0"/>
      <c r="AH7" s="20"/>
      <c r="AI7" s="22"/>
      <c r="AJ7" s="22"/>
      <c r="AK7" s="29"/>
      <c r="AL7" s="22"/>
    </row>
    <row r="8" spans="1:38" x14ac:dyDescent="0.2">
      <c r="A8" s="20"/>
      <c r="B8" s="20"/>
      <c r="C8" s="21"/>
      <c r="D8" s="21"/>
      <c r="E8" s="22"/>
      <c r="F8" s="22"/>
      <c r="G8" s="23"/>
      <c r="H8" s="24"/>
      <c r="I8" s="25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0"/>
      <c r="AH8" s="20"/>
      <c r="AI8" s="22"/>
      <c r="AJ8" s="22"/>
      <c r="AK8" s="29"/>
      <c r="AL8" s="22"/>
    </row>
    <row r="9" spans="1:38" x14ac:dyDescent="0.2">
      <c r="A9" s="20"/>
      <c r="B9" s="20"/>
      <c r="C9" s="21"/>
      <c r="D9" s="21"/>
      <c r="E9" s="22"/>
      <c r="F9" s="22"/>
      <c r="G9" s="28"/>
      <c r="H9" s="24"/>
      <c r="I9" s="24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0"/>
      <c r="AH9" s="20"/>
      <c r="AI9" s="22"/>
      <c r="AJ9" s="22"/>
      <c r="AK9" s="29"/>
      <c r="AL9" s="22"/>
    </row>
    <row r="10" spans="1:38" x14ac:dyDescent="0.2">
      <c r="A10" s="20"/>
      <c r="B10" s="20"/>
      <c r="C10" s="21"/>
      <c r="D10" s="21"/>
      <c r="E10" s="22"/>
      <c r="F10" s="22"/>
      <c r="G10" s="30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0"/>
      <c r="AH10" s="20"/>
      <c r="AI10" s="22"/>
      <c r="AJ10" s="22"/>
      <c r="AK10" s="29"/>
      <c r="AL10" s="22"/>
    </row>
    <row r="11" spans="1:38" x14ac:dyDescent="0.2">
      <c r="A11" s="20"/>
      <c r="B11" s="20"/>
      <c r="C11" s="21"/>
      <c r="D11" s="21"/>
      <c r="E11" s="22"/>
      <c r="F11" s="22"/>
      <c r="G11" s="30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0"/>
      <c r="AH11" s="20"/>
      <c r="AI11" s="22"/>
      <c r="AJ11" s="22"/>
      <c r="AK11" s="29"/>
      <c r="AL11" s="22"/>
    </row>
    <row r="12" spans="1:38" x14ac:dyDescent="0.2">
      <c r="AE12" t="s">
        <v>85</v>
      </c>
      <c r="AL12" s="32"/>
    </row>
    <row r="13" spans="1:38" ht="13.5" thickBot="1" x14ac:dyDescent="0.25"/>
    <row r="14" spans="1:38" ht="13.5" thickBot="1" x14ac:dyDescent="0.25">
      <c r="F14" s="44" t="s">
        <v>86</v>
      </c>
      <c r="G14" s="45"/>
      <c r="H14" s="46"/>
      <c r="I14" s="47"/>
    </row>
    <row r="16" spans="1:38" x14ac:dyDescent="0.2">
      <c r="A16" s="33"/>
      <c r="B16" s="31" t="s">
        <v>87</v>
      </c>
    </row>
    <row r="17" spans="1:2" x14ac:dyDescent="0.2">
      <c r="A17" s="34"/>
      <c r="B17" s="31" t="s">
        <v>88</v>
      </c>
    </row>
    <row r="22" spans="1:2" x14ac:dyDescent="0.2">
      <c r="B22" t="s">
        <v>85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3"/>
  <sheetViews>
    <sheetView workbookViewId="0">
      <selection activeCell="I11" sqref="I11"/>
    </sheetView>
  </sheetViews>
  <sheetFormatPr defaultRowHeight="12.75" x14ac:dyDescent="0.2"/>
  <cols>
    <col min="1" max="1" width="12.5" customWidth="1"/>
    <col min="8" max="8" width="9.5" customWidth="1"/>
  </cols>
  <sheetData>
    <row r="1" spans="1:8" x14ac:dyDescent="0.2">
      <c r="A1" s="3" t="s">
        <v>89</v>
      </c>
      <c r="B1" s="4"/>
      <c r="C1" s="4"/>
      <c r="D1" s="4"/>
      <c r="E1" s="4"/>
      <c r="F1" s="4"/>
      <c r="G1" s="4"/>
      <c r="H1" s="5"/>
    </row>
    <row r="2" spans="1:8" x14ac:dyDescent="0.2">
      <c r="A2" s="1"/>
      <c r="H2" s="2"/>
    </row>
    <row r="3" spans="1:8" x14ac:dyDescent="0.2">
      <c r="A3" s="1"/>
      <c r="H3" s="2"/>
    </row>
    <row r="4" spans="1:8" x14ac:dyDescent="0.2">
      <c r="A4" s="1"/>
      <c r="H4" s="2"/>
    </row>
    <row r="5" spans="1:8" ht="13.5" thickBot="1" x14ac:dyDescent="0.25">
      <c r="A5" s="1"/>
      <c r="H5" s="2"/>
    </row>
    <row r="6" spans="1:8" x14ac:dyDescent="0.2">
      <c r="A6" s="3"/>
      <c r="B6" s="4"/>
      <c r="C6" s="4"/>
      <c r="D6" s="5"/>
      <c r="E6" s="36" t="s">
        <v>90</v>
      </c>
      <c r="F6" s="4" t="s">
        <v>91</v>
      </c>
      <c r="G6" s="36" t="s">
        <v>92</v>
      </c>
      <c r="H6" s="5" t="s">
        <v>93</v>
      </c>
    </row>
    <row r="7" spans="1:8" ht="19.5" x14ac:dyDescent="0.25">
      <c r="A7" s="1"/>
      <c r="B7" s="37" t="s">
        <v>94</v>
      </c>
      <c r="D7" s="2"/>
      <c r="E7" s="38"/>
      <c r="G7" s="38" t="s">
        <v>95</v>
      </c>
      <c r="H7" s="2" t="s">
        <v>96</v>
      </c>
    </row>
    <row r="8" spans="1:8" ht="13.5" thickBot="1" x14ac:dyDescent="0.25">
      <c r="A8" s="6"/>
      <c r="B8" s="7"/>
      <c r="C8" s="7"/>
      <c r="D8" s="8"/>
      <c r="E8" s="39"/>
      <c r="F8" s="7"/>
      <c r="G8" s="39"/>
      <c r="H8" s="8" t="s">
        <v>97</v>
      </c>
    </row>
    <row r="9" spans="1:8" x14ac:dyDescent="0.2">
      <c r="A9" s="36"/>
      <c r="E9" s="36"/>
      <c r="G9" s="40"/>
      <c r="H9" s="40"/>
    </row>
    <row r="10" spans="1:8" x14ac:dyDescent="0.2">
      <c r="A10" s="38"/>
      <c r="E10" s="38"/>
      <c r="G10" s="41"/>
      <c r="H10" s="41"/>
    </row>
    <row r="11" spans="1:8" x14ac:dyDescent="0.2">
      <c r="A11" s="38"/>
      <c r="E11" s="38"/>
      <c r="G11" s="38"/>
      <c r="H11" s="38"/>
    </row>
    <row r="12" spans="1:8" x14ac:dyDescent="0.2">
      <c r="A12" s="38"/>
      <c r="E12" s="38"/>
      <c r="G12" s="38"/>
      <c r="H12" s="38"/>
    </row>
    <row r="13" spans="1:8" x14ac:dyDescent="0.2">
      <c r="A13" s="38"/>
      <c r="E13" s="38"/>
      <c r="G13" s="41"/>
      <c r="H13" s="41"/>
    </row>
    <row r="14" spans="1:8" x14ac:dyDescent="0.2">
      <c r="A14" s="38"/>
      <c r="E14" s="38"/>
      <c r="G14" s="38"/>
      <c r="H14" s="38"/>
    </row>
    <row r="15" spans="1:8" x14ac:dyDescent="0.2">
      <c r="A15" s="38"/>
      <c r="E15" s="38"/>
      <c r="G15" s="41"/>
      <c r="H15" s="38"/>
    </row>
    <row r="16" spans="1:8" x14ac:dyDescent="0.2">
      <c r="A16" s="38"/>
      <c r="E16" s="38"/>
      <c r="G16" s="38"/>
      <c r="H16" s="38"/>
    </row>
    <row r="17" spans="1:8" x14ac:dyDescent="0.2">
      <c r="A17" s="38"/>
      <c r="E17" s="38"/>
      <c r="G17" s="38"/>
      <c r="H17" s="38"/>
    </row>
    <row r="18" spans="1:8" x14ac:dyDescent="0.2">
      <c r="A18" s="38"/>
      <c r="E18" s="38"/>
      <c r="G18" s="38"/>
      <c r="H18" s="38"/>
    </row>
    <row r="19" spans="1:8" x14ac:dyDescent="0.2">
      <c r="A19" s="38"/>
      <c r="E19" s="38"/>
      <c r="G19" s="41"/>
      <c r="H19" s="41"/>
    </row>
    <row r="20" spans="1:8" x14ac:dyDescent="0.2">
      <c r="A20" s="38"/>
      <c r="E20" s="38"/>
      <c r="G20" s="38"/>
      <c r="H20" s="38"/>
    </row>
    <row r="21" spans="1:8" x14ac:dyDescent="0.2">
      <c r="A21" s="38"/>
      <c r="E21" s="38"/>
      <c r="G21" s="38"/>
      <c r="H21" s="38"/>
    </row>
    <row r="22" spans="1:8" x14ac:dyDescent="0.2">
      <c r="A22" s="38"/>
      <c r="E22" s="38"/>
      <c r="G22" s="41"/>
      <c r="H22" s="41"/>
    </row>
    <row r="23" spans="1:8" x14ac:dyDescent="0.2">
      <c r="A23" s="38"/>
      <c r="E23" s="38"/>
      <c r="G23" s="38"/>
      <c r="H23" s="38"/>
    </row>
    <row r="24" spans="1:8" x14ac:dyDescent="0.2">
      <c r="A24" s="38"/>
      <c r="E24" s="38"/>
      <c r="G24" s="38"/>
      <c r="H24" s="38"/>
    </row>
    <row r="25" spans="1:8" x14ac:dyDescent="0.2">
      <c r="A25" s="38"/>
      <c r="E25" s="38"/>
      <c r="G25" s="41"/>
      <c r="H25" s="41"/>
    </row>
    <row r="26" spans="1:8" x14ac:dyDescent="0.2">
      <c r="A26" s="38"/>
      <c r="E26" s="38"/>
      <c r="G26" s="38"/>
      <c r="H26" s="38"/>
    </row>
    <row r="27" spans="1:8" x14ac:dyDescent="0.2">
      <c r="A27" s="38"/>
      <c r="E27" s="38"/>
      <c r="G27" s="38"/>
      <c r="H27" s="38"/>
    </row>
    <row r="28" spans="1:8" x14ac:dyDescent="0.2">
      <c r="A28" s="38"/>
      <c r="E28" s="38"/>
      <c r="G28" s="41"/>
      <c r="H28" s="41"/>
    </row>
    <row r="29" spans="1:8" x14ac:dyDescent="0.2">
      <c r="A29" s="38"/>
      <c r="E29" s="38"/>
      <c r="G29" s="38"/>
      <c r="H29" s="38"/>
    </row>
    <row r="30" spans="1:8" x14ac:dyDescent="0.2">
      <c r="A30" s="38"/>
      <c r="E30" s="38"/>
      <c r="G30" s="38"/>
      <c r="H30" s="38"/>
    </row>
    <row r="31" spans="1:8" x14ac:dyDescent="0.2">
      <c r="A31" s="38"/>
      <c r="E31" s="38"/>
      <c r="G31" s="38"/>
      <c r="H31" s="38"/>
    </row>
    <row r="32" spans="1:8" x14ac:dyDescent="0.2">
      <c r="A32" s="38"/>
      <c r="E32" s="38"/>
      <c r="G32" s="38"/>
      <c r="H32" s="38"/>
    </row>
    <row r="33" spans="1:8" x14ac:dyDescent="0.2">
      <c r="A33" s="38"/>
      <c r="E33" s="38"/>
      <c r="G33" s="38"/>
      <c r="H33" s="38"/>
    </row>
    <row r="34" spans="1:8" x14ac:dyDescent="0.2">
      <c r="A34" s="38"/>
      <c r="E34" s="38"/>
      <c r="G34" s="38"/>
      <c r="H34" s="38"/>
    </row>
    <row r="35" spans="1:8" x14ac:dyDescent="0.2">
      <c r="A35" s="38"/>
      <c r="E35" s="38"/>
      <c r="G35" s="38"/>
      <c r="H35" s="38"/>
    </row>
    <row r="36" spans="1:8" x14ac:dyDescent="0.2">
      <c r="A36" s="38"/>
      <c r="E36" s="38"/>
      <c r="G36" s="38"/>
      <c r="H36" s="38"/>
    </row>
    <row r="37" spans="1:8" x14ac:dyDescent="0.2">
      <c r="A37" s="38"/>
      <c r="E37" s="38"/>
      <c r="G37" s="38"/>
      <c r="H37" s="38"/>
    </row>
    <row r="38" spans="1:8" x14ac:dyDescent="0.2">
      <c r="A38" s="38"/>
      <c r="E38" s="38"/>
      <c r="G38" s="38"/>
      <c r="H38" s="38"/>
    </row>
    <row r="39" spans="1:8" x14ac:dyDescent="0.2">
      <c r="A39" s="38"/>
      <c r="E39" s="38"/>
      <c r="G39" s="38"/>
      <c r="H39" s="38"/>
    </row>
    <row r="40" spans="1:8" x14ac:dyDescent="0.2">
      <c r="A40" s="38"/>
      <c r="E40" s="38"/>
      <c r="G40" s="38"/>
      <c r="H40" s="38"/>
    </row>
    <row r="41" spans="1:8" x14ac:dyDescent="0.2">
      <c r="A41" s="38"/>
      <c r="E41" s="38"/>
      <c r="G41" s="38"/>
      <c r="H41" s="38"/>
    </row>
    <row r="42" spans="1:8" x14ac:dyDescent="0.2">
      <c r="A42" s="38"/>
      <c r="E42" s="38"/>
      <c r="G42" s="38"/>
      <c r="H42" s="38"/>
    </row>
    <row r="43" spans="1:8" x14ac:dyDescent="0.2">
      <c r="A43" s="38"/>
      <c r="E43" s="38"/>
      <c r="G43" s="38"/>
      <c r="H43" s="38"/>
    </row>
    <row r="44" spans="1:8" x14ac:dyDescent="0.2">
      <c r="A44" s="38"/>
      <c r="E44" s="38"/>
      <c r="G44" s="38"/>
      <c r="H44" s="38"/>
    </row>
    <row r="45" spans="1:8" ht="13.5" thickBot="1" x14ac:dyDescent="0.25">
      <c r="A45" s="39"/>
      <c r="E45" s="39"/>
      <c r="G45" s="39"/>
      <c r="H45" s="39"/>
    </row>
    <row r="46" spans="1:8" ht="13.5" thickBot="1" x14ac:dyDescent="0.25">
      <c r="A46" s="36"/>
      <c r="B46" s="4" t="s">
        <v>98</v>
      </c>
      <c r="C46" s="4"/>
      <c r="D46" s="4"/>
      <c r="E46" s="36"/>
      <c r="F46" s="4"/>
      <c r="G46" s="36"/>
      <c r="H46" s="5">
        <f>SUM(H9:H45)</f>
        <v>0</v>
      </c>
    </row>
    <row r="47" spans="1:8" x14ac:dyDescent="0.2">
      <c r="A47" s="3" t="s">
        <v>99</v>
      </c>
      <c r="B47" s="4"/>
      <c r="C47" s="4"/>
      <c r="D47" s="4"/>
      <c r="E47" s="4"/>
      <c r="F47" s="4"/>
      <c r="G47" s="4"/>
      <c r="H47" s="5"/>
    </row>
    <row r="48" spans="1:8" ht="13.5" thickBot="1" x14ac:dyDescent="0.25">
      <c r="A48" s="1" t="s">
        <v>100</v>
      </c>
      <c r="E48" t="s">
        <v>101</v>
      </c>
      <c r="F48" s="42"/>
      <c r="G48" s="42"/>
      <c r="H48" s="2"/>
    </row>
    <row r="49" spans="1:8" ht="14.25" thickTop="1" thickBot="1" x14ac:dyDescent="0.25">
      <c r="A49" s="1"/>
      <c r="E49" t="s">
        <v>102</v>
      </c>
      <c r="F49" s="43"/>
      <c r="G49" s="43"/>
      <c r="H49" s="2"/>
    </row>
    <row r="50" spans="1:8" ht="13.5" thickTop="1" x14ac:dyDescent="0.2">
      <c r="A50" s="1" t="s">
        <v>103</v>
      </c>
      <c r="E50" t="s">
        <v>103</v>
      </c>
      <c r="H50" s="2"/>
    </row>
    <row r="51" spans="1:8" x14ac:dyDescent="0.2">
      <c r="A51" s="1"/>
      <c r="H51" s="2"/>
    </row>
    <row r="52" spans="1:8" x14ac:dyDescent="0.2">
      <c r="A52" s="1"/>
      <c r="H52" s="2"/>
    </row>
    <row r="53" spans="1:8" ht="13.5" thickBot="1" x14ac:dyDescent="0.25">
      <c r="A53" s="6"/>
      <c r="B53" s="7"/>
      <c r="C53" s="7"/>
      <c r="D53" s="7"/>
      <c r="E53" s="7"/>
      <c r="F53" s="7"/>
      <c r="G53" s="7"/>
      <c r="H53" s="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2C2B4-5436-4392-8D52-6903586449E0}">
  <dimension ref="A1:I50"/>
  <sheetViews>
    <sheetView topLeftCell="A7" workbookViewId="0">
      <selection activeCell="O17" sqref="O17"/>
    </sheetView>
  </sheetViews>
  <sheetFormatPr defaultRowHeight="12.75" x14ac:dyDescent="0.2"/>
  <sheetData>
    <row r="1" spans="1:9" x14ac:dyDescent="0.2">
      <c r="A1" t="s">
        <v>140</v>
      </c>
    </row>
    <row r="2" spans="1:9" x14ac:dyDescent="0.2">
      <c r="A2" t="s">
        <v>141</v>
      </c>
    </row>
    <row r="3" spans="1:9" x14ac:dyDescent="0.2">
      <c r="A3" s="52" t="s">
        <v>142</v>
      </c>
    </row>
    <row r="4" spans="1:9" x14ac:dyDescent="0.2">
      <c r="A4" s="52" t="s">
        <v>143</v>
      </c>
    </row>
    <row r="5" spans="1:9" x14ac:dyDescent="0.2">
      <c r="A5" s="52" t="s">
        <v>144</v>
      </c>
    </row>
    <row r="6" spans="1:9" x14ac:dyDescent="0.2">
      <c r="A6" s="52" t="s">
        <v>145</v>
      </c>
    </row>
    <row r="7" spans="1:9" x14ac:dyDescent="0.2">
      <c r="A7" s="52" t="s">
        <v>146</v>
      </c>
    </row>
    <row r="8" spans="1:9" x14ac:dyDescent="0.2">
      <c r="A8" s="52" t="s">
        <v>147</v>
      </c>
      <c r="H8" s="52"/>
      <c r="I8" t="s">
        <v>50</v>
      </c>
    </row>
    <row r="9" spans="1:9" x14ac:dyDescent="0.2">
      <c r="A9" s="52" t="s">
        <v>148</v>
      </c>
      <c r="H9" s="52"/>
      <c r="I9">
        <v>2000</v>
      </c>
    </row>
    <row r="10" spans="1:9" x14ac:dyDescent="0.2">
      <c r="H10" s="52"/>
      <c r="I10">
        <v>2001</v>
      </c>
    </row>
    <row r="11" spans="1:9" x14ac:dyDescent="0.2">
      <c r="A11" s="52" t="s">
        <v>149</v>
      </c>
      <c r="H11" s="52"/>
      <c r="I11">
        <v>2002</v>
      </c>
    </row>
    <row r="12" spans="1:9" x14ac:dyDescent="0.2">
      <c r="A12" s="52" t="s">
        <v>150</v>
      </c>
      <c r="H12" s="52"/>
      <c r="I12">
        <v>2003</v>
      </c>
    </row>
    <row r="13" spans="1:9" x14ac:dyDescent="0.2">
      <c r="A13" s="52" t="s">
        <v>151</v>
      </c>
      <c r="I13">
        <v>2004</v>
      </c>
    </row>
    <row r="14" spans="1:9" x14ac:dyDescent="0.2">
      <c r="A14" s="52" t="s">
        <v>152</v>
      </c>
      <c r="I14">
        <v>2005</v>
      </c>
    </row>
    <row r="15" spans="1:9" x14ac:dyDescent="0.2">
      <c r="I15">
        <v>2006</v>
      </c>
    </row>
    <row r="16" spans="1:9" x14ac:dyDescent="0.2">
      <c r="I16">
        <v>2007</v>
      </c>
    </row>
    <row r="17" spans="1:9" x14ac:dyDescent="0.2">
      <c r="I17">
        <v>2008</v>
      </c>
    </row>
    <row r="18" spans="1:9" x14ac:dyDescent="0.2">
      <c r="I18">
        <v>2009</v>
      </c>
    </row>
    <row r="19" spans="1:9" x14ac:dyDescent="0.2">
      <c r="A19" s="52" t="s">
        <v>153</v>
      </c>
      <c r="I19">
        <v>2010</v>
      </c>
    </row>
    <row r="20" spans="1:9" x14ac:dyDescent="0.2">
      <c r="A20" s="52" t="s">
        <v>154</v>
      </c>
      <c r="I20">
        <v>2011</v>
      </c>
    </row>
    <row r="21" spans="1:9" x14ac:dyDescent="0.2">
      <c r="A21" s="52" t="s">
        <v>155</v>
      </c>
      <c r="I21">
        <v>2012</v>
      </c>
    </row>
    <row r="22" spans="1:9" x14ac:dyDescent="0.2">
      <c r="I22">
        <v>2013</v>
      </c>
    </row>
    <row r="23" spans="1:9" x14ac:dyDescent="0.2">
      <c r="I23">
        <v>2014</v>
      </c>
    </row>
    <row r="24" spans="1:9" x14ac:dyDescent="0.2">
      <c r="I24">
        <v>2015</v>
      </c>
    </row>
    <row r="25" spans="1:9" x14ac:dyDescent="0.2">
      <c r="A25" t="s">
        <v>116</v>
      </c>
      <c r="I25">
        <v>2016</v>
      </c>
    </row>
    <row r="26" spans="1:9" x14ac:dyDescent="0.2">
      <c r="A26" t="s">
        <v>117</v>
      </c>
      <c r="I26">
        <v>2017</v>
      </c>
    </row>
    <row r="27" spans="1:9" x14ac:dyDescent="0.2">
      <c r="A27" t="s">
        <v>156</v>
      </c>
      <c r="I27">
        <v>2018</v>
      </c>
    </row>
    <row r="28" spans="1:9" x14ac:dyDescent="0.2">
      <c r="I28">
        <v>2019</v>
      </c>
    </row>
    <row r="29" spans="1:9" x14ac:dyDescent="0.2">
      <c r="I29">
        <v>2020</v>
      </c>
    </row>
    <row r="30" spans="1:9" x14ac:dyDescent="0.2">
      <c r="A30" s="152" t="s">
        <v>157</v>
      </c>
      <c r="B30" s="152"/>
      <c r="C30" s="152"/>
      <c r="D30" s="152"/>
      <c r="E30" s="152"/>
      <c r="F30" s="152"/>
      <c r="I30">
        <v>2021</v>
      </c>
    </row>
    <row r="31" spans="1:9" x14ac:dyDescent="0.2">
      <c r="A31" s="153" t="s">
        <v>158</v>
      </c>
      <c r="B31" s="153"/>
      <c r="C31" s="153"/>
      <c r="D31" s="153"/>
      <c r="E31" s="153"/>
      <c r="F31" s="153"/>
      <c r="I31">
        <v>2022</v>
      </c>
    </row>
    <row r="32" spans="1:9" x14ac:dyDescent="0.2">
      <c r="A32" s="154" t="s">
        <v>159</v>
      </c>
      <c r="B32" s="154"/>
      <c r="C32" s="154"/>
      <c r="D32" s="154"/>
      <c r="E32" s="154"/>
      <c r="F32" s="154"/>
      <c r="I32">
        <v>2023</v>
      </c>
    </row>
    <row r="33" spans="1:9" x14ac:dyDescent="0.2">
      <c r="I33">
        <v>2024</v>
      </c>
    </row>
    <row r="35" spans="1:9" x14ac:dyDescent="0.2">
      <c r="A35" s="152" t="s">
        <v>160</v>
      </c>
      <c r="B35" s="152"/>
      <c r="C35" s="152"/>
      <c r="D35" s="152"/>
      <c r="E35" s="152"/>
      <c r="F35" s="152"/>
    </row>
    <row r="36" spans="1:9" x14ac:dyDescent="0.2">
      <c r="A36" s="153" t="s">
        <v>161</v>
      </c>
      <c r="B36" s="153"/>
      <c r="C36" s="153"/>
      <c r="D36" s="153"/>
      <c r="E36" s="153"/>
      <c r="F36" s="153"/>
    </row>
    <row r="37" spans="1:9" x14ac:dyDescent="0.2">
      <c r="A37" s="154" t="s">
        <v>162</v>
      </c>
      <c r="B37" s="154"/>
      <c r="C37" s="154"/>
      <c r="D37" s="154"/>
      <c r="E37" s="154"/>
      <c r="F37" s="154"/>
    </row>
    <row r="40" spans="1:9" x14ac:dyDescent="0.2">
      <c r="A40" t="s">
        <v>163</v>
      </c>
    </row>
    <row r="41" spans="1:9" x14ac:dyDescent="0.2">
      <c r="A41" t="s">
        <v>164</v>
      </c>
    </row>
    <row r="42" spans="1:9" x14ac:dyDescent="0.2">
      <c r="A42" t="s">
        <v>165</v>
      </c>
    </row>
    <row r="43" spans="1:9" x14ac:dyDescent="0.2">
      <c r="A43" t="s">
        <v>166</v>
      </c>
    </row>
    <row r="46" spans="1:9" x14ac:dyDescent="0.2">
      <c r="A46" t="s">
        <v>167</v>
      </c>
    </row>
    <row r="47" spans="1:9" x14ac:dyDescent="0.2">
      <c r="A47" t="s">
        <v>168</v>
      </c>
    </row>
    <row r="49" spans="1:1" x14ac:dyDescent="0.2">
      <c r="A49" t="s">
        <v>169</v>
      </c>
    </row>
    <row r="50" spans="1:1" x14ac:dyDescent="0.2">
      <c r="A50" t="s">
        <v>170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2148DAF8978943BAC56E9EC7772347" ma:contentTypeVersion="12" ma:contentTypeDescription="Een nieuw document maken." ma:contentTypeScope="" ma:versionID="bf90ee672ac91d3513b19855c42d2d71">
  <xsd:schema xmlns:xsd="http://www.w3.org/2001/XMLSchema" xmlns:xs="http://www.w3.org/2001/XMLSchema" xmlns:p="http://schemas.microsoft.com/office/2006/metadata/properties" xmlns:ns2="9a26503e-00a5-48b5-a17a-fa765d880b98" xmlns:ns3="720d2ed1-fefa-47bf-8e1c-9a9254961f91" xmlns:ns4="b2e8bcd5-f5dd-41a1-b063-ea5b8ad952f0" xmlns:ns5="7167c2d5-19e0-4389-86d4-c1e66f3f98eb" targetNamespace="http://schemas.microsoft.com/office/2006/metadata/properties" ma:root="true" ma:fieldsID="d0e3b348a031e4c9f31ee69fa7994eca" ns2:_="" ns3:_="" ns4:_="" ns5:_="">
    <xsd:import namespace="9a26503e-00a5-48b5-a17a-fa765d880b98"/>
    <xsd:import namespace="720d2ed1-fefa-47bf-8e1c-9a9254961f91"/>
    <xsd:import namespace="b2e8bcd5-f5dd-41a1-b063-ea5b8ad952f0"/>
    <xsd:import namespace="7167c2d5-19e0-4389-86d4-c1e66f3f98e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ingHintHash" minOccurs="0"/>
                <xsd:element ref="ns2:SharedWithDetails" minOccurs="0"/>
                <xsd:element ref="ns3:_dlc_DocId" minOccurs="0"/>
                <xsd:element ref="ns3:_dlc_DocIdUrl" minOccurs="0"/>
                <xsd:element ref="ns3:_dlc_DocIdPersistId" minOccurs="0"/>
                <xsd:element ref="ns4:LastSharedByUser" minOccurs="0"/>
                <xsd:element ref="ns4:LastSharedByTime" minOccurs="0"/>
                <xsd:element ref="ns5:MediaServiceMetadata" minOccurs="0"/>
                <xsd:element ref="ns5:MediaServiceFastMetadata" minOccurs="0"/>
                <xsd:element ref="ns5:MediaServiceDateTaken" minOccurs="0"/>
                <xsd:element ref="ns5:MediaServiceAutoTags" minOccurs="0"/>
                <xsd:element ref="ns5:MediaServiceLocation" minOccurs="0"/>
                <xsd:element ref="ns5:MediaServiceOCR" minOccurs="0"/>
                <xsd:element ref="ns5:MediaServiceEventHashCode" minOccurs="0"/>
                <xsd:element ref="ns5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26503e-00a5-48b5-a17a-fa765d880b9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Hint-hash delen" ma:description="" ma:internalName="SharingHintHash" ma:readOnly="true">
      <xsd:simpleType>
        <xsd:restriction base="dms:Text"/>
      </xsd:simpleType>
    </xsd:element>
    <xsd:element name="SharedWithDetails" ma:index="10" nillable="true" ma:displayName="Gedeeld met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0d2ed1-fefa-47bf-8e1c-9a9254961f91" elementFormDefault="qualified">
    <xsd:import namespace="http://schemas.microsoft.com/office/2006/documentManagement/types"/>
    <xsd:import namespace="http://schemas.microsoft.com/office/infopath/2007/PartnerControls"/>
    <xsd:element name="_dlc_DocId" ma:index="11" nillable="true" ma:displayName="Waarde van de document-id" ma:description="De waarde van de document-id die aan dit item is toegewezen." ma:internalName="_dlc_DocId" ma:readOnly="true">
      <xsd:simpleType>
        <xsd:restriction base="dms:Text"/>
      </xsd:simpleType>
    </xsd:element>
    <xsd:element name="_dlc_DocIdUrl" ma:index="12" nillable="true" ma:displayName="Document-id" ma:description="Permanente koppeling naar dit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Id blijven behouden" ma:description="Id behouden tijdens toevoegen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e8bcd5-f5dd-41a1-b063-ea5b8ad952f0" elementFormDefault="qualified">
    <xsd:import namespace="http://schemas.microsoft.com/office/2006/documentManagement/types"/>
    <xsd:import namespace="http://schemas.microsoft.com/office/infopath/2007/PartnerControls"/>
    <xsd:element name="LastSharedByUser" ma:index="14" nillable="true" ma:displayName="Laatst gedeeld, per gebruik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5" nillable="true" ma:displayName="Laatst gedeeld, per tijdstip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67c2d5-19e0-4389-86d4-c1e66f3f98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6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7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8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9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20" nillable="true" ma:displayName="MediaServiceLocation" ma:internalName="MediaServiceLocation" ma:readOnly="true">
      <xsd:simpleType>
        <xsd:restriction base="dms:Text"/>
      </xsd:simpleType>
    </xsd:element>
    <xsd:element name="MediaServiceOCR" ma:index="2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3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720d2ed1-fefa-47bf-8e1c-9a9254961f91">AVALEX-1153299052-131366</_dlc_DocId>
    <_dlc_DocIdUrl xmlns="720d2ed1-fefa-47bf-8e1c-9a9254961f91">
      <Url>https://avalex.sharepoint.com/TechnischBeheer/_layouts/15/DocIdRedir.aspx?ID=AVALEX-1153299052-131366</Url>
      <Description>AVALEX-1153299052-131366</Description>
    </_dlc_DocIdUrl>
  </documentManagement>
</p:properties>
</file>

<file path=customXml/itemProps1.xml><?xml version="1.0" encoding="utf-8"?>
<ds:datastoreItem xmlns:ds="http://schemas.openxmlformats.org/officeDocument/2006/customXml" ds:itemID="{8F8A9360-E40F-4E19-8F26-88162B9BAA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E21DC56-03E2-42C5-BC1D-950EF1B3450B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892A0818-968D-4BDD-99F6-8D7F502AFB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26503e-00a5-48b5-a17a-fa765d880b98"/>
    <ds:schemaRef ds:uri="720d2ed1-fefa-47bf-8e1c-9a9254961f91"/>
    <ds:schemaRef ds:uri="b2e8bcd5-f5dd-41a1-b063-ea5b8ad952f0"/>
    <ds:schemaRef ds:uri="7167c2d5-19e0-4389-86d4-c1e66f3f98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000F62BF-F695-4625-989D-AA959611D577}">
  <ds:schemaRefs>
    <ds:schemaRef ds:uri="b2e8bcd5-f5dd-41a1-b063-ea5b8ad952f0"/>
    <ds:schemaRef ds:uri="http://schemas.microsoft.com/office/2006/documentManagement/types"/>
    <ds:schemaRef ds:uri="http://purl.org/dc/terms/"/>
    <ds:schemaRef ds:uri="http://purl.org/dc/dcmitype/"/>
    <ds:schemaRef ds:uri="http://schemas.microsoft.com/office/2006/metadata/properties"/>
    <ds:schemaRef ds:uri="9a26503e-00a5-48b5-a17a-fa765d880b98"/>
    <ds:schemaRef ds:uri="http://purl.org/dc/elements/1.1/"/>
    <ds:schemaRef ds:uri="720d2ed1-fefa-47bf-8e1c-9a9254961f91"/>
    <ds:schemaRef ds:uri="http://schemas.microsoft.com/office/infopath/2007/PartnerControls"/>
    <ds:schemaRef ds:uri="http://schemas.openxmlformats.org/package/2006/metadata/core-properties"/>
    <ds:schemaRef ds:uri="7167c2d5-19e0-4389-86d4-c1e66f3f98eb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7</vt:i4>
      </vt:variant>
      <vt:variant>
        <vt:lpstr>Benoemde bereiken</vt:lpstr>
      </vt:variant>
      <vt:variant>
        <vt:i4>2</vt:i4>
      </vt:variant>
    </vt:vector>
  </HeadingPairs>
  <TitlesOfParts>
    <vt:vector size="9" baseType="lpstr">
      <vt:lpstr>Projectomschrijving</vt:lpstr>
      <vt:lpstr>Projectblad</vt:lpstr>
      <vt:lpstr>Data</vt:lpstr>
      <vt:lpstr>UItvoering</vt:lpstr>
      <vt:lpstr>Bestellijst</vt:lpstr>
      <vt:lpstr>Meerwerkstaat</vt:lpstr>
      <vt:lpstr>Blad2</vt:lpstr>
      <vt:lpstr>Projectblad!Afdrukbereik</vt:lpstr>
      <vt:lpstr>UItvoering!Print_Area</vt:lpstr>
    </vt:vector>
  </TitlesOfParts>
  <Manager/>
  <Company>Avalex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Ricardo Beset</dc:creator>
  <cp:keywords/>
  <dc:description/>
  <cp:lastModifiedBy>ricardo beset</cp:lastModifiedBy>
  <cp:revision/>
  <cp:lastPrinted>2024-03-01T09:58:43Z</cp:lastPrinted>
  <dcterms:created xsi:type="dcterms:W3CDTF">2015-06-05T08:55:49Z</dcterms:created>
  <dcterms:modified xsi:type="dcterms:W3CDTF">2026-03-05T07:21:40Z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0x010100642148DAF8978943BAC56E9EC7772347</vt:lpwstr>
  </property>
  <property fmtid="{D5CDD505-2E9C-101B-9397-08002B2CF9AE}" pid="3" name="_dlc_DocIdItemGuid">
    <vt:lpwstr>45e4f9a2-f8ab-4ff8-82b0-2b876f4ddb9b</vt:lpwstr>
  </property>
</Properties>
</file>